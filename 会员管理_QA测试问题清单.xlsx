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问题清单" sheetId="2" state="visible" r:id="rId2"/>
  </sheets>
  <definedNames>
    <definedName name="_xlnm._FilterDatabase" localSheetId="1" hidden="1">'问题清单'!$A$1:$L$78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14"/>
    </font>
    <font>
      <name val="Arial"/>
      <color rgb="00475467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B42318"/>
    </font>
    <font>
      <name val="Arial"/>
      <b val="1"/>
      <color rgb="00B54708"/>
    </font>
    <font>
      <name val="Arial"/>
      <b val="1"/>
      <color rgb="00175CD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EF0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11" fillId="5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Arial"/>
        <b val="1"/>
        <color rgb="00B42318"/>
      </font>
      <fill>
        <patternFill patternType="solid">
          <fgColor rgb="00FDE2E1"/>
        </patternFill>
      </fill>
    </dxf>
    <dxf>
      <font>
        <name val="Arial"/>
        <b val="1"/>
        <color rgb="00B54708"/>
      </font>
      <fill>
        <patternFill patternType="solid">
          <fgColor rgb="00FEF0C7"/>
        </patternFill>
      </fill>
    </dxf>
    <dxf>
      <font>
        <name val="Arial"/>
        <b val="1"/>
        <color rgb="00175CD3"/>
      </font>
      <fill>
        <patternFill patternType="solid">
          <fgColor rgb="00E0F2FE"/>
        </patternFill>
      </fill>
    </dxf>
    <dxf>
      <font>
        <name val="Arial"/>
        <color rgb="00067647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会员管理介面 QA 测试问题统计</t>
        </is>
      </c>
    </row>
    <row r="2">
      <c r="A2" s="2" t="inlineStr">
        <is>
          <t>测试日期：2026-10-01（第1–2轮）、2026-10-02（第3轮：线上版 GitHub Pages）　测试对象：content.html（巢状／压缩模式；正常／无数据／极限三种数据；1440／1024／768 宽度）</t>
        </is>
      </c>
    </row>
    <row r="4">
      <c r="A4" s="3" t="inlineStr">
        <is>
          <t>严重度</t>
        </is>
      </c>
      <c r="B4" s="3" t="inlineStr">
        <is>
          <t>问题数</t>
        </is>
      </c>
      <c r="C4" s="3" t="inlineStr">
        <is>
          <t>已修复</t>
        </is>
      </c>
      <c r="D4" s="3" t="inlineStr">
        <is>
          <t>未修复</t>
        </is>
      </c>
      <c r="E4" s="3" t="inlineStr">
        <is>
          <t>占比</t>
        </is>
      </c>
    </row>
    <row r="5">
      <c r="A5" s="4" t="inlineStr">
        <is>
          <t>高</t>
        </is>
      </c>
      <c r="B5" s="5">
        <f>COUNTIF('问题清单'!$E$2:$E$78,A5)</f>
        <v/>
      </c>
      <c r="C5" s="5">
        <f>COUNTIFS('问题清单'!$E$2:$E$78,A5,'问题清单'!$K$2:$K$78,"已修复")</f>
        <v/>
      </c>
      <c r="D5" s="5">
        <f>B5-C5</f>
        <v/>
      </c>
      <c r="E5" s="6">
        <f>IF($B$8=0,0,B5/$B$8)</f>
        <v/>
      </c>
    </row>
    <row r="6">
      <c r="A6" s="7" t="inlineStr">
        <is>
          <t>中</t>
        </is>
      </c>
      <c r="B6" s="5">
        <f>COUNTIF('问题清单'!$E$2:$E$78,A6)</f>
        <v/>
      </c>
      <c r="C6" s="5">
        <f>COUNTIFS('问题清单'!$E$2:$E$78,A6,'问题清单'!$K$2:$K$78,"已修复")</f>
        <v/>
      </c>
      <c r="D6" s="5">
        <f>B6-C6</f>
        <v/>
      </c>
      <c r="E6" s="6">
        <f>IF($B$8=0,0,B6/$B$8)</f>
        <v/>
      </c>
    </row>
    <row r="7">
      <c r="A7" s="8" t="inlineStr">
        <is>
          <t>低</t>
        </is>
      </c>
      <c r="B7" s="5">
        <f>COUNTIF('问题清单'!$E$2:$E$78,A7)</f>
        <v/>
      </c>
      <c r="C7" s="5">
        <f>COUNTIFS('问题清单'!$E$2:$E$78,A7,'问题清单'!$K$2:$K$78,"已修复")</f>
        <v/>
      </c>
      <c r="D7" s="5">
        <f>B7-C7</f>
        <v/>
      </c>
      <c r="E7" s="6">
        <f>IF($B$8=0,0,B7/$B$8)</f>
        <v/>
      </c>
    </row>
    <row r="8">
      <c r="A8" s="9" t="inlineStr">
        <is>
          <t>合计</t>
        </is>
      </c>
      <c r="B8" s="10">
        <f>SUM(B5:B7)</f>
        <v/>
      </c>
      <c r="C8" s="10">
        <f>SUM(C5:C7)</f>
        <v/>
      </c>
      <c r="D8" s="10">
        <f>SUM(D5:D7)</f>
        <v/>
      </c>
      <c r="E8" s="11">
        <f>IF($B$8=0,0,B8/$B$8)</f>
        <v/>
      </c>
    </row>
    <row r="10">
      <c r="A10" s="3" t="inlineStr">
        <is>
          <t>模块</t>
        </is>
      </c>
      <c r="B10" s="3" t="inlineStr">
        <is>
          <t>高</t>
        </is>
      </c>
      <c r="C10" s="3" t="inlineStr">
        <is>
          <t>中</t>
        </is>
      </c>
      <c r="D10" s="3" t="inlineStr">
        <is>
          <t>低</t>
        </is>
      </c>
      <c r="E10" s="3" t="inlineStr">
        <is>
          <t>小计</t>
        </is>
      </c>
    </row>
    <row r="11">
      <c r="A11" s="12" t="inlineStr">
        <is>
          <t>筛选与搜寻</t>
        </is>
      </c>
      <c r="B11" s="5">
        <f>COUNTIFS('问题清单'!$C$2:$C$78,$A11,'问题清单'!$E$2:$E$78,"高")</f>
        <v/>
      </c>
      <c r="C11" s="5">
        <f>COUNTIFS('问题清单'!$C$2:$C$78,$A11,'问题清单'!$E$2:$E$78,"中")</f>
        <v/>
      </c>
      <c r="D11" s="5">
        <f>COUNTIFS('问题清单'!$C$2:$C$78,$A11,'问题清单'!$E$2:$E$78,"低")</f>
        <v/>
      </c>
      <c r="E11" s="5">
        <f>SUM(B11:D11)</f>
        <v/>
      </c>
    </row>
    <row r="12">
      <c r="A12" s="12" t="inlineStr">
        <is>
          <t>列表模式</t>
        </is>
      </c>
      <c r="B12" s="5">
        <f>COUNTIFS('问题清单'!$C$2:$C$78,$A12,'问题清单'!$E$2:$E$78,"高")</f>
        <v/>
      </c>
      <c r="C12" s="5">
        <f>COUNTIFS('问题清单'!$C$2:$C$78,$A12,'问题清单'!$E$2:$E$78,"中")</f>
        <v/>
      </c>
      <c r="D12" s="5">
        <f>COUNTIFS('问题清单'!$C$2:$C$78,$A12,'问题清单'!$E$2:$E$78,"低")</f>
        <v/>
      </c>
      <c r="E12" s="5">
        <f>SUM(B12:D12)</f>
        <v/>
      </c>
    </row>
    <row r="13">
      <c r="A13" s="12" t="inlineStr">
        <is>
          <t>自订栏位</t>
        </is>
      </c>
      <c r="B13" s="5">
        <f>COUNTIFS('问题清单'!$C$2:$C$78,$A13,'问题清单'!$E$2:$E$78,"高")</f>
        <v/>
      </c>
      <c r="C13" s="5">
        <f>COUNTIFS('问题清单'!$C$2:$C$78,$A13,'问题清单'!$E$2:$E$78,"中")</f>
        <v/>
      </c>
      <c r="D13" s="5">
        <f>COUNTIFS('问题清单'!$C$2:$C$78,$A13,'问题清单'!$E$2:$E$78,"低")</f>
        <v/>
      </c>
      <c r="E13" s="5">
        <f>SUM(B13:D13)</f>
        <v/>
      </c>
    </row>
    <row r="14">
      <c r="A14" s="12" t="inlineStr">
        <is>
          <t>用户抽屉</t>
        </is>
      </c>
      <c r="B14" s="5">
        <f>COUNTIFS('问题清单'!$C$2:$C$78,$A14,'问题清单'!$E$2:$E$78,"高")</f>
        <v/>
      </c>
      <c r="C14" s="5">
        <f>COUNTIFS('问题清单'!$C$2:$C$78,$A14,'问题清单'!$E$2:$E$78,"中")</f>
        <v/>
      </c>
      <c r="D14" s="5">
        <f>COUNTIFS('问题清单'!$C$2:$C$78,$A14,'问题清单'!$E$2:$E$78,"低")</f>
        <v/>
      </c>
      <c r="E14" s="5">
        <f>SUM(B14:D14)</f>
        <v/>
      </c>
    </row>
    <row r="15">
      <c r="A15" s="12" t="inlineStr">
        <is>
          <t>勾选与批量</t>
        </is>
      </c>
      <c r="B15" s="5">
        <f>COUNTIFS('问题清单'!$C$2:$C$78,$A15,'问题清单'!$E$2:$E$78,"高")</f>
        <v/>
      </c>
      <c r="C15" s="5">
        <f>COUNTIFS('问题清单'!$C$2:$C$78,$A15,'问题清单'!$E$2:$E$78,"中")</f>
        <v/>
      </c>
      <c r="D15" s="5">
        <f>COUNTIFS('问题清单'!$C$2:$C$78,$A15,'问题清单'!$E$2:$E$78,"低")</f>
        <v/>
      </c>
      <c r="E15" s="5">
        <f>SUM(B15:D15)</f>
        <v/>
      </c>
    </row>
    <row r="16">
      <c r="A16" s="12" t="inlineStr">
        <is>
          <t>操作入口</t>
        </is>
      </c>
      <c r="B16" s="5">
        <f>COUNTIFS('问题清单'!$C$2:$C$78,$A16,'问题清单'!$E$2:$E$78,"高")</f>
        <v/>
      </c>
      <c r="C16" s="5">
        <f>COUNTIFS('问题清单'!$C$2:$C$78,$A16,'问题清单'!$E$2:$E$78,"中")</f>
        <v/>
      </c>
      <c r="D16" s="5">
        <f>COUNTIFS('问题清单'!$C$2:$C$78,$A16,'问题清单'!$E$2:$E$78,"低")</f>
        <v/>
      </c>
      <c r="E16" s="5">
        <f>SUM(B16:D16)</f>
        <v/>
      </c>
    </row>
    <row r="17">
      <c r="A17" s="12" t="inlineStr">
        <is>
          <t>弹窗与抽屉</t>
        </is>
      </c>
      <c r="B17" s="5">
        <f>COUNTIFS('问题清单'!$C$2:$C$78,$A17,'问题清单'!$E$2:$E$78,"高")</f>
        <v/>
      </c>
      <c r="C17" s="5">
        <f>COUNTIFS('问题清单'!$C$2:$C$78,$A17,'问题清单'!$E$2:$E$78,"中")</f>
        <v/>
      </c>
      <c r="D17" s="5">
        <f>COUNTIFS('问题清单'!$C$2:$C$78,$A17,'问题清单'!$E$2:$E$78,"低")</f>
        <v/>
      </c>
      <c r="E17" s="5">
        <f>SUM(B17:D17)</f>
        <v/>
      </c>
    </row>
    <row r="18">
      <c r="A18" s="12" t="inlineStr">
        <is>
          <t>复制功能</t>
        </is>
      </c>
      <c r="B18" s="5">
        <f>COUNTIFS('问题清单'!$C$2:$C$78,$A18,'问题清单'!$E$2:$E$78,"高")</f>
        <v/>
      </c>
      <c r="C18" s="5">
        <f>COUNTIFS('问题清单'!$C$2:$C$78,$A18,'问题清单'!$E$2:$E$78,"中")</f>
        <v/>
      </c>
      <c r="D18" s="5">
        <f>COUNTIFS('问题清单'!$C$2:$C$78,$A18,'问题清单'!$E$2:$E$78,"低")</f>
        <v/>
      </c>
      <c r="E18" s="5">
        <f>SUM(B18:D18)</f>
        <v/>
      </c>
    </row>
    <row r="19">
      <c r="A19" s="12" t="inlineStr">
        <is>
          <t>无数据状态</t>
        </is>
      </c>
      <c r="B19" s="5">
        <f>COUNTIFS('问题清单'!$C$2:$C$78,$A19,'问题清单'!$E$2:$E$78,"高")</f>
        <v/>
      </c>
      <c r="C19" s="5">
        <f>COUNTIFS('问题清单'!$C$2:$C$78,$A19,'问题清单'!$E$2:$E$78,"中")</f>
        <v/>
      </c>
      <c r="D19" s="5">
        <f>COUNTIFS('问题清单'!$C$2:$C$78,$A19,'问题清单'!$E$2:$E$78,"低")</f>
        <v/>
      </c>
      <c r="E19" s="5">
        <f>SUM(B19:D19)</f>
        <v/>
      </c>
    </row>
    <row r="20">
      <c r="A20" s="12" t="inlineStr">
        <is>
          <t>极限状态</t>
        </is>
      </c>
      <c r="B20" s="5">
        <f>COUNTIFS('问题清单'!$C$2:$C$78,$A20,'问题清单'!$E$2:$E$78,"高")</f>
        <v/>
      </c>
      <c r="C20" s="5">
        <f>COUNTIFS('问题清单'!$C$2:$C$78,$A20,'问题清单'!$E$2:$E$78,"中")</f>
        <v/>
      </c>
      <c r="D20" s="5">
        <f>COUNTIFS('问题清单'!$C$2:$C$78,$A20,'问题清单'!$E$2:$E$78,"低")</f>
        <v/>
      </c>
      <c r="E20" s="5">
        <f>SUM(B20:D20)</f>
        <v/>
      </c>
    </row>
    <row r="21">
      <c r="A21" s="12" t="inlineStr">
        <is>
          <t>响应式与版面</t>
        </is>
      </c>
      <c r="B21" s="5">
        <f>COUNTIFS('问题清单'!$C$2:$C$78,$A21,'问题清单'!$E$2:$E$78,"高")</f>
        <v/>
      </c>
      <c r="C21" s="5">
        <f>COUNTIFS('问题清单'!$C$2:$C$78,$A21,'问题清单'!$E$2:$E$78,"中")</f>
        <v/>
      </c>
      <c r="D21" s="5">
        <f>COUNTIFS('问题清单'!$C$2:$C$78,$A21,'问题清单'!$E$2:$E$78,"低")</f>
        <v/>
      </c>
      <c r="E21" s="5">
        <f>SUM(B21:D21)</f>
        <v/>
      </c>
    </row>
    <row r="22">
      <c r="A22" s="12" t="inlineStr">
        <is>
          <t>自订筛选</t>
        </is>
      </c>
      <c r="B22" s="5">
        <f>COUNTIFS('问题清单'!$C$2:$C$78,$A22,'问题清单'!$E$2:$E$78,"高")</f>
        <v/>
      </c>
      <c r="C22" s="5">
        <f>COUNTIFS('问题清单'!$C$2:$C$78,$A22,'问题清单'!$E$2:$E$78,"中")</f>
        <v/>
      </c>
      <c r="D22" s="5">
        <f>COUNTIFS('问题清单'!$C$2:$C$78,$A22,'问题清单'!$E$2:$E$78,"低")</f>
        <v/>
      </c>
      <c r="E22" s="5">
        <f>SUM(B22:D22)</f>
        <v/>
      </c>
    </row>
    <row r="23">
      <c r="A23" s="12" t="inlineStr">
        <is>
          <t>金额显示</t>
        </is>
      </c>
      <c r="B23" s="5">
        <f>COUNTIFS('问题清单'!$C$2:$C$78,$A23,'问题清单'!$E$2:$E$78,"高")</f>
        <v/>
      </c>
      <c r="C23" s="5">
        <f>COUNTIFS('问题清单'!$C$2:$C$78,$A23,'问题清单'!$E$2:$E$78,"中")</f>
        <v/>
      </c>
      <c r="D23" s="5">
        <f>COUNTIFS('问题清单'!$C$2:$C$78,$A23,'问题清单'!$E$2:$E$78,"低")</f>
        <v/>
      </c>
      <c r="E23" s="5">
        <f>SUM(B23:D23)</f>
        <v/>
      </c>
    </row>
    <row r="24">
      <c r="A24" s="12" t="inlineStr">
        <is>
          <t>权限控制</t>
        </is>
      </c>
      <c r="B24" s="5">
        <f>COUNTIFS('问题清单'!$C$2:$C$78,$A24,'问题清单'!$E$2:$E$78,"高")</f>
        <v/>
      </c>
      <c r="C24" s="5">
        <f>COUNTIFS('问题清单'!$C$2:$C$78,$A24,'问题清单'!$E$2:$E$78,"中")</f>
        <v/>
      </c>
      <c r="D24" s="5">
        <f>COUNTIFS('问题清单'!$C$2:$C$78,$A24,'问题清单'!$E$2:$E$78,"低")</f>
        <v/>
      </c>
      <c r="E24" s="5">
        <f>SUM(B24:D24)</f>
        <v/>
      </c>
    </row>
    <row r="25">
      <c r="A25" s="12" t="inlineStr">
        <is>
          <t>文案与用语</t>
        </is>
      </c>
      <c r="B25" s="5">
        <f>COUNTIFS('问题清单'!$C$2:$C$78,$A25,'问题清单'!$E$2:$E$78,"高")</f>
        <v/>
      </c>
      <c r="C25" s="5">
        <f>COUNTIFS('问题清单'!$C$2:$C$78,$A25,'问题清单'!$E$2:$E$78,"中")</f>
        <v/>
      </c>
      <c r="D25" s="5">
        <f>COUNTIFS('问题清单'!$C$2:$C$78,$A25,'问题清单'!$E$2:$E$78,"低")</f>
        <v/>
      </c>
      <c r="E25" s="5">
        <f>SUM(B25:D25)</f>
        <v/>
      </c>
    </row>
    <row r="26">
      <c r="A26" s="9" t="inlineStr">
        <is>
          <t>合计</t>
        </is>
      </c>
      <c r="B26" s="10">
        <f>SUM(B11:B25)</f>
        <v/>
      </c>
      <c r="C26" s="10">
        <f>SUM(C11:C25)</f>
        <v/>
      </c>
      <c r="D26" s="10">
        <f>SUM(D11:D25)</f>
        <v/>
      </c>
      <c r="E26" s="10">
        <f>SUM(E11:E25)</f>
        <v/>
      </c>
    </row>
    <row r="27">
      <c r="A27" s="12" t="n"/>
      <c r="B27" s="5" t="n"/>
      <c r="C27" s="5" t="n"/>
      <c r="D27" s="5" t="n"/>
      <c r="E27" s="5" t="n"/>
    </row>
    <row r="28" ht="48" customHeight="1">
      <c r="A28" s="13" t="inlineStr">
        <is>
          <t>使用说明：在「问题清单」的「处理状态」栏选择状态（待处理／处理中／已修复／不修复／需确认），本页统计会自动更新。严重度定义：高＝结果错误或功能失效；中＝行为不一致或易误导；低＝无反应或 UI 细节。</t>
        </is>
      </c>
    </row>
  </sheetData>
  <mergeCells count="1"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8" customWidth="1" min="5" max="5"/>
    <col width="34" customWidth="1" min="6" max="6"/>
    <col width="42" customWidth="1" min="7" max="7"/>
    <col width="46" customWidth="1" min="8" max="8"/>
    <col width="36" customWidth="1" min="9" max="9"/>
    <col width="34" customWidth="1" min="10" max="10"/>
    <col width="12" customWidth="1" min="11" max="11"/>
    <col width="20" customWidth="1" min="12" max="12"/>
  </cols>
  <sheetData>
    <row r="1" ht="24" customHeight="1">
      <c r="A1" s="14" t="inlineStr">
        <is>
          <t>编号</t>
        </is>
      </c>
      <c r="B1" s="14" t="inlineStr">
        <is>
          <t>测试轮次</t>
        </is>
      </c>
      <c r="C1" s="14" t="inlineStr">
        <is>
          <t>模块</t>
        </is>
      </c>
      <c r="D1" s="14" t="inlineStr">
        <is>
          <t>模式/数据状态</t>
        </is>
      </c>
      <c r="E1" s="14" t="inlineStr">
        <is>
          <t>严重度</t>
        </is>
      </c>
      <c r="F1" s="14" t="inlineStr">
        <is>
          <t>问题标题</t>
        </is>
      </c>
      <c r="G1" s="14" t="inlineStr">
        <is>
          <t>重现步骤</t>
        </is>
      </c>
      <c r="H1" s="14" t="inlineStr">
        <is>
          <t>实际结果</t>
        </is>
      </c>
      <c r="I1" s="14" t="inlineStr">
        <is>
          <t>预期结果</t>
        </is>
      </c>
      <c r="J1" s="14" t="inlineStr">
        <is>
          <t>相关位置</t>
        </is>
      </c>
      <c r="K1" s="14" t="inlineStr">
        <is>
          <t>处理状态</t>
        </is>
      </c>
      <c r="L1" s="14" t="inlineStr">
        <is>
          <t>备注</t>
        </is>
      </c>
    </row>
    <row r="2">
      <c r="A2" s="15" t="inlineStr">
        <is>
          <t>BUG-001</t>
        </is>
      </c>
      <c r="B2" s="15" t="inlineStr">
        <is>
          <t>第1轮</t>
        </is>
      </c>
      <c r="C2" s="16" t="inlineStr">
        <is>
          <t>筛选与搜寻</t>
        </is>
      </c>
      <c r="D2" s="16" t="inlineStr">
        <is>
          <t>全部</t>
        </is>
      </c>
      <c r="E2" s="15" t="inlineStr">
        <is>
          <t>高</t>
        </is>
      </c>
      <c r="F2" s="17" t="inlineStr">
        <is>
          <t>「排除条件」筛选逻辑相反</t>
        </is>
      </c>
      <c r="G2" s="16" t="inlineStr">
        <is>
          <t>1. 进入页面（预设已套用「排除条件：测试账号」）
2. 查看列表结果</t>
        </is>
      </c>
      <c r="H2" s="16" t="inlineStr">
        <is>
          <t>结果只剩测试账号；标签文字显示「其他：」而非「排除条件」</t>
        </is>
      </c>
      <c r="I2" s="16" t="inlineStr">
        <is>
          <t>应排除测试账号，只显示其他账号；标签文字与下拉名称一致</t>
        </is>
      </c>
      <c r="J2" s="16" t="inlineStr">
        <is>
          <t>script.js:1375、script.js:1038</t>
        </is>
      </c>
      <c r="K2" s="15" t="inlineStr">
        <is>
          <t>待处理</t>
        </is>
      </c>
      <c r="L2" s="16" t="inlineStr"/>
    </row>
    <row r="3">
      <c r="A3" s="15" t="inlineStr">
        <is>
          <t>BUG-002</t>
        </is>
      </c>
      <c r="B3" s="15" t="inlineStr">
        <is>
          <t>第1轮</t>
        </is>
      </c>
      <c r="C3" s="16" t="inlineStr">
        <is>
          <t>筛选与搜寻</t>
        </is>
      </c>
      <c r="D3" s="16" t="inlineStr">
        <is>
          <t>全部</t>
        </is>
      </c>
      <c r="E3" s="15" t="inlineStr">
        <is>
          <t>高</t>
        </is>
      </c>
      <c r="F3" s="17" t="inlineStr">
        <is>
          <t>外层「绑定银行卡／未登入天数／登录IP／存款金额大于」筛选无效</t>
        </is>
      </c>
      <c r="G3" s="16" t="inlineStr">
        <is>
          <t>1. 在外层筛选列任一栏位输入值（例：登录IP 10.0.0.99）
2. 点击「搜寻」</t>
        </is>
      </c>
      <c r="H3" s="16" t="inlineStr">
        <is>
          <t>会产生筛选标签，但结果与页数完全不变</t>
        </is>
      </c>
      <c r="I3" s="16" t="inlineStr">
        <is>
          <t>依输入条件过滤结果</t>
        </is>
      </c>
      <c r="J3" s="16" t="inlineStr">
        <is>
          <t>script.js:1414-1417（读取的是隐藏的进阶抽屉 inputBankCard/inputIp 等，而非 *Outer 栏位）</t>
        </is>
      </c>
      <c r="K3" s="15" t="inlineStr">
        <is>
          <t>待处理</t>
        </is>
      </c>
      <c r="L3" s="16" t="inlineStr"/>
    </row>
    <row r="4">
      <c r="A4" s="15" t="inlineStr">
        <is>
          <t>BUG-003</t>
        </is>
      </c>
      <c r="B4" s="15" t="inlineStr">
        <is>
          <t>第1轮</t>
        </is>
      </c>
      <c r="C4" s="16" t="inlineStr">
        <is>
          <t>筛选与搜寻</t>
        </is>
      </c>
      <c r="D4" s="16" t="inlineStr">
        <is>
          <t>全部</t>
        </is>
      </c>
      <c r="E4" s="15" t="inlineStr">
        <is>
          <t>高</t>
        </is>
      </c>
      <c r="F4" s="17" t="inlineStr">
        <is>
          <t>「生日月份」筛选无效</t>
        </is>
      </c>
      <c r="G4" s="16" t="inlineStr">
        <is>
          <t>1. 生日月份选择「3月」
2. 点击「搜寻」</t>
        </is>
      </c>
      <c r="H4" s="16" t="inlineStr">
        <is>
          <t>产生「生日: 3月」标签，但结果不变（仍为 10 页）</t>
        </is>
      </c>
      <c r="I4" s="16" t="inlineStr">
        <is>
          <t>仅显示 3 月生日的用户</t>
        </is>
      </c>
      <c r="J4" s="16" t="inlineStr">
        <is>
          <t>script.js:425-430、1053（selectedBirthdayOuterVal 未用于过滤）</t>
        </is>
      </c>
      <c r="K4" s="15" t="inlineStr">
        <is>
          <t>待处理</t>
        </is>
      </c>
      <c r="L4" s="16" t="inlineStr"/>
    </row>
    <row r="5">
      <c r="A5" s="15" t="inlineStr">
        <is>
          <t>BUG-004</t>
        </is>
      </c>
      <c r="B5" s="15" t="inlineStr">
        <is>
          <t>第1轮</t>
        </is>
      </c>
      <c r="C5" s="16" t="inlineStr">
        <is>
          <t>筛选与搜寻</t>
        </is>
      </c>
      <c r="D5" s="16" t="inlineStr">
        <is>
          <t>全部</t>
        </is>
      </c>
      <c r="E5" s="15" t="inlineStr">
        <is>
          <t>高</t>
        </is>
      </c>
      <c r="F5" s="17" t="inlineStr">
        <is>
          <t>「用户标签」筛选无效且无法重置</t>
        </is>
      </c>
      <c r="G5" s="16" t="inlineStr">
        <is>
          <t>1. 用户标签选择「VIP 客户」
2. 点击「搜寻」
3. 点击「重置」</t>
        </is>
      </c>
      <c r="H5" s="16" t="inlineStr">
        <is>
          <t>不产生标签、不过滤；重置后仍显示「VIP 客户」；下拉第一项为空白选项</t>
        </is>
      </c>
      <c r="I5" s="16" t="inlineStr">
        <is>
          <t>依标签过滤并产生筛选标签；重置可清除；不应有空白选项</t>
        </is>
      </c>
      <c r="J5" s="16" t="inlineStr">
        <is>
          <t>script.js:463-466</t>
        </is>
      </c>
      <c r="K5" s="15" t="inlineStr">
        <is>
          <t>待处理</t>
        </is>
      </c>
      <c r="L5" s="16" t="inlineStr"/>
    </row>
    <row r="6">
      <c r="A6" s="15" t="inlineStr">
        <is>
          <t>BUG-005</t>
        </is>
      </c>
      <c r="B6" s="15" t="inlineStr">
        <is>
          <t>第1轮</t>
        </is>
      </c>
      <c r="C6" s="16" t="inlineStr">
        <is>
          <t>筛选与搜寻</t>
        </is>
      </c>
      <c r="D6" s="16" t="inlineStr">
        <is>
          <t>全部</t>
        </is>
      </c>
      <c r="E6" s="15" t="inlineStr">
        <is>
          <t>高</t>
        </is>
      </c>
      <c r="F6" s="17" t="inlineStr">
        <is>
          <t>账号搜寻类型为邮箱／Zalo／WhatsApp／TG／谷歌验证码时无法过滤</t>
        </is>
      </c>
      <c r="G6" s="16" t="inlineStr">
        <is>
          <t>1. 账号类型下拉切到「邮箱」
2. 输入不存在的值（例：zzz_no_match）
3. 点击「搜寻」</t>
        </is>
      </c>
      <c r="H6" s="16" t="inlineStr">
        <is>
          <t>回传全部 10 页用户</t>
        </is>
      </c>
      <c r="I6" s="16" t="inlineStr">
        <is>
          <t>应显示「无符合筛选条件的会员资料」</t>
        </is>
      </c>
      <c r="J6" s="16" t="inlineStr">
        <is>
          <t>script.js:1390（欄位不存在時視為符合）</t>
        </is>
      </c>
      <c r="K6" s="15" t="inlineStr">
        <is>
          <t>待处理</t>
        </is>
      </c>
      <c r="L6" s="16" t="inlineStr"/>
    </row>
    <row r="7">
      <c r="A7" s="15" t="inlineStr">
        <is>
          <t>BUG-006</t>
        </is>
      </c>
      <c r="B7" s="15" t="inlineStr">
        <is>
          <t>第1轮</t>
        </is>
      </c>
      <c r="C7" s="16" t="inlineStr">
        <is>
          <t>列表模式</t>
        </is>
      </c>
      <c r="D7" s="16" t="inlineStr">
        <is>
          <t>压缩模式</t>
        </is>
      </c>
      <c r="E7" s="15" t="inlineStr">
        <is>
          <t>高</t>
        </is>
      </c>
      <c r="F7" s="17" t="inlineStr">
        <is>
          <t>「新增时间／登入时间」排序无效</t>
        </is>
      </c>
      <c r="G7" s="16" t="inlineStr">
        <is>
          <t>1. 切到压缩模式
2. 点击「新增时间」表头排序两次</t>
        </is>
      </c>
      <c r="H7" s="16" t="inlineStr">
        <is>
          <t>升冪与降冪顺序完全相同</t>
        </is>
      </c>
      <c r="I7" s="16" t="inlineStr">
        <is>
          <t>依时间正确升冪／降冪排序</t>
        </is>
      </c>
      <c r="J7" s="16" t="inlineStr">
        <is>
          <t>script.js:1466-1474（日期字串被 parseFloat 成 2023，全部相等）</t>
        </is>
      </c>
      <c r="K7" s="15" t="inlineStr">
        <is>
          <t>待处理</t>
        </is>
      </c>
      <c r="L7" s="16" t="inlineStr"/>
    </row>
    <row r="8">
      <c r="A8" s="15" t="inlineStr">
        <is>
          <t>BUG-007</t>
        </is>
      </c>
      <c r="B8" s="15" t="inlineStr">
        <is>
          <t>第1轮</t>
        </is>
      </c>
      <c r="C8" s="16" t="inlineStr">
        <is>
          <t>自订栏位</t>
        </is>
      </c>
      <c r="D8" s="16" t="inlineStr">
        <is>
          <t>巢状模式</t>
        </is>
      </c>
      <c r="E8" s="15" t="inlineStr">
        <is>
          <t>高</t>
        </is>
      </c>
      <c r="F8" s="17" t="inlineStr">
        <is>
          <t>巢状模式加入展开卡片栏位后表格错位</t>
        </is>
      </c>
      <c r="G8" s="16" t="inlineStr">
        <is>
          <t>1. 巢状模式打开自订栏位
2. 在展开卡片点「真实姓名」的「+」加入主表</t>
        </is>
      </c>
      <c r="H8" s="16" t="inlineStr">
        <is>
          <t>只多一个表头、没有对应内容格（表头 13 欄 vs 内容 12 欄），「真实姓名」表头压在操作栏上方</t>
        </is>
      </c>
      <c r="I8" s="16" t="inlineStr">
        <is>
          <t>表头与内容格一致，或巢状模式不提供加入</t>
        </is>
      </c>
      <c r="J8" s="16" t="inlineStr">
        <is>
          <t>巢状模式表格渲染</t>
        </is>
      </c>
      <c r="K8" s="15" t="inlineStr">
        <is>
          <t>待处理</t>
        </is>
      </c>
      <c r="L8" s="16" t="inlineStr"/>
    </row>
    <row r="9">
      <c r="A9" s="15" t="inlineStr">
        <is>
          <t>BUG-008</t>
        </is>
      </c>
      <c r="B9" s="15" t="inlineStr">
        <is>
          <t>第1轮</t>
        </is>
      </c>
      <c r="C9" s="16" t="inlineStr">
        <is>
          <t>用户抽屉</t>
        </is>
      </c>
      <c r="D9" s="16" t="inlineStr">
        <is>
          <t>全部</t>
        </is>
      </c>
      <c r="E9" s="15" t="inlineStr">
        <is>
          <t>高</t>
        </is>
      </c>
      <c r="F9" s="17" t="inlineStr">
        <is>
          <t>编辑用户「保存修改」未实际保存</t>
        </is>
      </c>
      <c r="G9" s="16" t="inlineStr">
        <is>
          <t>1. 打开编辑用户，修改昵称／状态
2. 点击「保存修改」
3. 重新打开同一用户</t>
        </is>
      </c>
      <c r="H9" s="16" t="inlineStr">
        <is>
          <t>显示「用户详情已更新！」，但资料仍为旧值，列表也未更新</t>
        </is>
      </c>
      <c r="I9" s="16" t="inlineStr">
        <is>
          <t>保存后资料更新，或在原型中明确标示为示意</t>
        </is>
      </c>
      <c r="J9" s="16" t="inlineStr">
        <is>
          <t>script.js 编辑用户保存逻辑</t>
        </is>
      </c>
      <c r="K9" s="15" t="inlineStr">
        <is>
          <t>待处理</t>
        </is>
      </c>
      <c r="L9" s="16" t="inlineStr"/>
    </row>
    <row r="10">
      <c r="A10" s="15" t="inlineStr">
        <is>
          <t>BUG-009</t>
        </is>
      </c>
      <c r="B10" s="15" t="inlineStr">
        <is>
          <t>第1轮</t>
        </is>
      </c>
      <c r="C10" s="16" t="inlineStr">
        <is>
          <t>勾选与批量</t>
        </is>
      </c>
      <c r="D10" s="16" t="inlineStr">
        <is>
          <t>全部</t>
        </is>
      </c>
      <c r="E10" s="15" t="inlineStr">
        <is>
          <t>中</t>
        </is>
      </c>
      <c r="F10" s="17" t="inlineStr">
        <is>
          <t>全选框取消单列后仍为全选</t>
        </is>
      </c>
      <c r="G10" s="16" t="inlineStr">
        <is>
          <t>1. 勾选表头全选
2. 取消其中一列</t>
        </is>
      </c>
      <c r="H10" s="16" t="inlineStr">
        <is>
          <t>表头仍为全勾，没有部分选取状态</t>
        </is>
      </c>
      <c r="I10" s="16" t="inlineStr">
        <is>
          <t>表头应变为部分选取（indeterminate）</t>
        </is>
      </c>
      <c r="J10" s="16" t="inlineStr">
        <is>
          <t>全选逻辑</t>
        </is>
      </c>
      <c r="K10" s="15" t="inlineStr">
        <is>
          <t>待处理</t>
        </is>
      </c>
      <c r="L10" s="16" t="inlineStr"/>
    </row>
    <row r="11">
      <c r="A11" s="15" t="inlineStr">
        <is>
          <t>BUG-010</t>
        </is>
      </c>
      <c r="B11" s="15" t="inlineStr">
        <is>
          <t>第1轮</t>
        </is>
      </c>
      <c r="C11" s="16" t="inlineStr">
        <is>
          <t>勾选与批量</t>
        </is>
      </c>
      <c r="D11" s="16" t="inlineStr">
        <is>
          <t>全部</t>
        </is>
      </c>
      <c r="E11" s="15" t="inlineStr">
        <is>
          <t>中</t>
        </is>
      </c>
      <c r="F11" s="17" t="inlineStr">
        <is>
          <t>换页后勾选状态不一致并遗失</t>
        </is>
      </c>
      <c r="G11" s="16" t="inlineStr">
        <is>
          <t>1. 全选第 1 页
2. 切到第 2 页
3. 回到第 1 页</t>
        </is>
      </c>
      <c r="H11" s="16" t="inlineStr">
        <is>
          <t>第 2 页表头仍显示全选但列未勾；回到第 1 页原本勾选全部消失</t>
        </is>
      </c>
      <c r="I11" s="16" t="inlineStr">
        <is>
          <t>表头状态与当页一致；跨页勾选应保留或明确提示</t>
        </is>
      </c>
      <c r="J11" s="16" t="inlineStr">
        <is>
          <t>分页渲染逻辑</t>
        </is>
      </c>
      <c r="K11" s="15" t="inlineStr">
        <is>
          <t>待处理</t>
        </is>
      </c>
      <c r="L11" s="16" t="inlineStr"/>
    </row>
    <row r="12">
      <c r="A12" s="15" t="inlineStr">
        <is>
          <t>BUG-011</t>
        </is>
      </c>
      <c r="B12" s="15" t="inlineStr">
        <is>
          <t>第1轮</t>
        </is>
      </c>
      <c r="C12" s="16" t="inlineStr">
        <is>
          <t>列表模式</t>
        </is>
      </c>
      <c r="D12" s="16" t="inlineStr">
        <is>
          <t>全部</t>
        </is>
      </c>
      <c r="E12" s="15" t="inlineStr">
        <is>
          <t>中</t>
        </is>
      </c>
      <c r="F12" s="17" t="inlineStr">
        <is>
          <t>点击会员名打开的是编辑而非详情</t>
        </is>
      </c>
      <c r="G12" s="16" t="inlineStr">
        <is>
          <t>1. 点击列表中的会员名链接</t>
        </is>
      </c>
      <c r="H12" s="16" t="inlineStr">
        <is>
          <t>打开「修改用户详情」</t>
        </is>
      </c>
      <c r="I12" s="16" t="inlineStr">
        <is>
          <t>点击会员名应打开「查看详情」</t>
        </is>
      </c>
      <c r="J12" s="16" t="inlineStr">
        <is>
          <t>script.js:3094-3097（fallback 进入编辑）</t>
        </is>
      </c>
      <c r="K12" s="15" t="inlineStr">
        <is>
          <t>待处理</t>
        </is>
      </c>
      <c r="L12" s="16" t="inlineStr"/>
    </row>
    <row r="13">
      <c r="A13" s="15" t="inlineStr">
        <is>
          <t>BUG-012</t>
        </is>
      </c>
      <c r="B13" s="15" t="inlineStr">
        <is>
          <t>第1轮</t>
        </is>
      </c>
      <c r="C13" s="16" t="inlineStr">
        <is>
          <t>用户抽屉</t>
        </is>
      </c>
      <c r="D13" s="16" t="inlineStr">
        <is>
          <t>全部</t>
        </is>
      </c>
      <c r="E13" s="15" t="inlineStr">
        <is>
          <t>中</t>
        </is>
      </c>
      <c r="F13" s="17" t="inlineStr">
        <is>
          <t>查看详情资料写死、不对应该用户</t>
        </is>
      </c>
      <c r="G13" s="16" t="inlineStr">
        <is>
          <t>1. 对 mingv0717001（真实姓名为「-」）打开查看详情</t>
        </is>
      </c>
      <c r="H13" s="16" t="inlineStr">
        <is>
          <t>详情显示真实姓名「王*明」等固定资料</t>
        </is>
      </c>
      <c r="I13" s="16" t="inlineStr">
        <is>
          <t>显示该用户的实际资料</t>
        </is>
      </c>
      <c r="J13" s="16" t="inlineStr">
        <is>
          <t>content.html 查看详情抽屉（详见第2轮第1项）</t>
        </is>
      </c>
      <c r="K13" s="15" t="inlineStr">
        <is>
          <t>待处理</t>
        </is>
      </c>
      <c r="L13" s="16" t="inlineStr"/>
    </row>
    <row r="14">
      <c r="A14" s="15" t="inlineStr">
        <is>
          <t>BUG-013</t>
        </is>
      </c>
      <c r="B14" s="15" t="inlineStr">
        <is>
          <t>第1轮</t>
        </is>
      </c>
      <c r="C14" s="16" t="inlineStr">
        <is>
          <t>操作入口</t>
        </is>
      </c>
      <c r="D14" s="16" t="inlineStr">
        <is>
          <t>巢状模式</t>
        </is>
      </c>
      <c r="E14" s="15" t="inlineStr">
        <is>
          <t>中</t>
        </is>
      </c>
      <c r="F14" s="17" t="inlineStr">
        <is>
          <t>「更多...」选单被右边界裁切，操作栏未固定</t>
        </is>
      </c>
      <c r="G14" s="16" t="inlineStr">
        <is>
          <t>1. 巢状模式在表格最右侧点「更多...」
2. 观察预设卷动位置的操作栏</t>
        </is>
      </c>
      <c r="H14" s="16" t="inlineStr">
        <is>
          <t>选单超出画面右缘被裁切；操作栏未固定于右侧，需横向卷动才看得到</t>
        </is>
      </c>
      <c r="I14" s="16" t="inlineStr">
        <is>
          <t>选单自动靠左对齐不被裁切；操作栏固定在右侧（与压缩模式一致）</t>
        </is>
      </c>
      <c r="J14" s="16" t="inlineStr">
        <is>
          <t>style.css .more-op-dropdown-menu</t>
        </is>
      </c>
      <c r="K14" s="15" t="inlineStr">
        <is>
          <t>待处理</t>
        </is>
      </c>
      <c r="L14" s="16" t="inlineStr"/>
    </row>
    <row r="15">
      <c r="A15" s="15" t="inlineStr">
        <is>
          <t>BUG-014</t>
        </is>
      </c>
      <c r="B15" s="15" t="inlineStr">
        <is>
          <t>第1轮</t>
        </is>
      </c>
      <c r="C15" s="16" t="inlineStr">
        <is>
          <t>筛选与搜寻</t>
        </is>
      </c>
      <c r="D15" s="16" t="inlineStr">
        <is>
          <t>全部</t>
        </is>
      </c>
      <c r="E15" s="15" t="inlineStr">
        <is>
          <t>中</t>
        </is>
      </c>
      <c r="F15" s="17" t="inlineStr">
        <is>
          <t>账号输入框按 Enter 不会搜寻</t>
        </is>
      </c>
      <c r="G15" s="16" t="inlineStr">
        <is>
          <t>1. 在账号输入框输入账号
2. 按 Enter</t>
        </is>
      </c>
      <c r="H15" s="16" t="inlineStr">
        <is>
          <t>无任何反应，必须点「搜寻」</t>
        </is>
      </c>
      <c r="I15" s="16" t="inlineStr">
        <is>
          <t>按 Enter 触发搜寻</t>
        </is>
      </c>
      <c r="J15" s="16" t="inlineStr">
        <is>
          <t>inputAccount 无 keydown 监听</t>
        </is>
      </c>
      <c r="K15" s="15" t="inlineStr">
        <is>
          <t>待处理</t>
        </is>
      </c>
      <c r="L15" s="16" t="inlineStr"/>
    </row>
    <row r="16">
      <c r="A16" s="15" t="inlineStr">
        <is>
          <t>BUG-015</t>
        </is>
      </c>
      <c r="B16" s="15" t="inlineStr">
        <is>
          <t>第1轮</t>
        </is>
      </c>
      <c r="C16" s="16" t="inlineStr">
        <is>
          <t>筛选与搜寻</t>
        </is>
      </c>
      <c r="D16" s="16" t="inlineStr">
        <is>
          <t>全部</t>
        </is>
      </c>
      <c r="E16" s="15" t="inlineStr">
        <is>
          <t>中</t>
        </is>
      </c>
      <c r="F16" s="17" t="inlineStr">
        <is>
          <t>新增时间只填开始时，标签显示「~ ??」</t>
        </is>
      </c>
      <c r="G16" s="16" t="inlineStr">
        <is>
          <t>1. 新增时间只填开始时间
2. 点击「搜寻」</t>
        </is>
      </c>
      <c r="H16" s="16" t="inlineStr">
        <is>
          <t>标签显示「新增时间: 2023-02-01 00:00 ~ ??」</t>
        </is>
      </c>
      <c r="I16" s="16" t="inlineStr">
        <is>
          <t>显示「2023-02-01 00:00 起」等合理文字</t>
        </is>
      </c>
      <c r="J16" s="16" t="inlineStr">
        <is>
          <t>script.js:1114-1115</t>
        </is>
      </c>
      <c r="K16" s="15" t="inlineStr">
        <is>
          <t>待处理</t>
        </is>
      </c>
      <c r="L16" s="16" t="inlineStr"/>
    </row>
    <row r="17">
      <c r="A17" s="15" t="inlineStr">
        <is>
          <t>BUG-016</t>
        </is>
      </c>
      <c r="B17" s="15" t="inlineStr">
        <is>
          <t>第1轮</t>
        </is>
      </c>
      <c r="C17" s="16" t="inlineStr">
        <is>
          <t>筛选与搜寻</t>
        </is>
      </c>
      <c r="D17" s="16" t="inlineStr">
        <is>
          <t>全部</t>
        </is>
      </c>
      <c r="E17" s="15" t="inlineStr">
        <is>
          <t>中</t>
        </is>
      </c>
      <c r="F17" s="17" t="inlineStr">
        <is>
          <t>新增时间开始晚于结束无提示</t>
        </is>
      </c>
      <c r="G17" s="16" t="inlineStr">
        <is>
          <t>1. 开始时间设为 2023-02-01，结束设为 2023-01-01
2. 点击「搜寻」</t>
        </is>
      </c>
      <c r="H17" s="16" t="inlineStr">
        <is>
          <t>无任何提示，直接回传空结果</t>
        </is>
      </c>
      <c r="I17" s="16" t="inlineStr">
        <is>
          <t>提示「开始时间不可晚于结束时间」</t>
        </is>
      </c>
      <c r="J17" s="16" t="inlineStr">
        <is>
          <t>日期区间验证</t>
        </is>
      </c>
      <c r="K17" s="15" t="inlineStr">
        <is>
          <t>待处理</t>
        </is>
      </c>
      <c r="L17" s="16" t="inlineStr"/>
    </row>
    <row r="18">
      <c r="A18" s="15" t="inlineStr">
        <is>
          <t>BUG-017</t>
        </is>
      </c>
      <c r="B18" s="15" t="inlineStr">
        <is>
          <t>第1轮</t>
        </is>
      </c>
      <c r="C18" s="16" t="inlineStr">
        <is>
          <t>用户抽屉</t>
        </is>
      </c>
      <c r="D18" s="16" t="inlineStr">
        <is>
          <t>全部</t>
        </is>
      </c>
      <c r="E18" s="15" t="inlineStr">
        <is>
          <t>中</t>
        </is>
      </c>
      <c r="F18" s="17" t="inlineStr">
        <is>
          <t>关闭编辑抽屉不提示未保存修改</t>
        </is>
      </c>
      <c r="G18" s="16" t="inlineStr">
        <is>
          <t>1. 编辑用户修改任一栏位
2. 点「取消」或点抽屉外部</t>
        </is>
      </c>
      <c r="H18" s="16" t="inlineStr">
        <is>
          <t>直接关闭，修改遗失（点外部关闭为本次新增功能）</t>
        </is>
      </c>
      <c r="I18" s="16" t="inlineStr">
        <is>
          <t>有未保存修改时跳出确认提示</t>
        </is>
      </c>
      <c r="J18" s="16" t="inlineStr">
        <is>
          <t>script.js initClickOutsideToClose</t>
        </is>
      </c>
      <c r="K18" s="15" t="inlineStr">
        <is>
          <t>待处理</t>
        </is>
      </c>
      <c r="L18" s="16" t="inlineStr"/>
    </row>
    <row r="19">
      <c r="A19" s="15" t="inlineStr">
        <is>
          <t>BUG-018</t>
        </is>
      </c>
      <c r="B19" s="15" t="inlineStr">
        <is>
          <t>第1轮</t>
        </is>
      </c>
      <c r="C19" s="16" t="inlineStr">
        <is>
          <t>弹窗与抽屉</t>
        </is>
      </c>
      <c r="D19" s="16" t="inlineStr">
        <is>
          <t>全部</t>
        </is>
      </c>
      <c r="E19" s="15" t="inlineStr">
        <is>
          <t>中</t>
        </is>
      </c>
      <c r="F19" s="17" t="inlineStr">
        <is>
          <t>Esc 键关闭行为不一致</t>
        </is>
      </c>
      <c r="G19" s="16" t="inlineStr">
        <is>
          <t>1. 分别打开钱包弹窗、自订栏位抽屉、编辑抽屉、自订筛选弹窗
2. 按 Esc</t>
        </is>
      </c>
      <c r="H19" s="16" t="inlineStr">
        <is>
          <t>只有自订筛选弹窗会关闭</t>
        </is>
      </c>
      <c r="I19" s="16" t="inlineStr">
        <is>
          <t>所有弹窗／抽屉都可用 Esc 关闭（关闭最上层）</t>
        </is>
      </c>
      <c r="J19" s="16" t="inlineStr">
        <is>
          <t>全局键盘事件</t>
        </is>
      </c>
      <c r="K19" s="15" t="inlineStr">
        <is>
          <t>待处理</t>
        </is>
      </c>
      <c r="L19" s="16" t="inlineStr"/>
    </row>
    <row r="20">
      <c r="A20" s="15" t="inlineStr">
        <is>
          <t>BUG-019</t>
        </is>
      </c>
      <c r="B20" s="15" t="inlineStr">
        <is>
          <t>第1轮</t>
        </is>
      </c>
      <c r="C20" s="16" t="inlineStr">
        <is>
          <t>复制功能</t>
        </is>
      </c>
      <c r="D20" s="16" t="inlineStr">
        <is>
          <t>全部</t>
        </is>
      </c>
      <c r="E20" s="15" t="inlineStr">
        <is>
          <t>中</t>
        </is>
      </c>
      <c r="F20" s="17" t="inlineStr">
        <is>
          <t>点击用户ID「复制」没有真的复制</t>
        </is>
      </c>
      <c r="G20" s="16" t="inlineStr">
        <is>
          <t>1. 点击用户ID</t>
        </is>
      </c>
      <c r="H20" s="16" t="inlineStr">
        <is>
          <t>只跳出 alert「已复制：…」，剪贴簿内容未改变；alert 被封锁时完全无反应</t>
        </is>
      </c>
      <c r="I20" s="16" t="inlineStr">
        <is>
          <t>写入剪贴簿并以 toast 提示</t>
        </is>
      </c>
      <c r="J20" s="16" t="inlineStr">
        <is>
          <t>script.js:777</t>
        </is>
      </c>
      <c r="K20" s="15" t="inlineStr">
        <is>
          <t>待处理</t>
        </is>
      </c>
      <c r="L20" s="16" t="inlineStr"/>
    </row>
    <row r="21">
      <c r="A21" s="15" t="inlineStr">
        <is>
          <t>BUG-020</t>
        </is>
      </c>
      <c r="B21" s="15" t="inlineStr">
        <is>
          <t>第1轮</t>
        </is>
      </c>
      <c r="C21" s="16" t="inlineStr">
        <is>
          <t>复制功能</t>
        </is>
      </c>
      <c r="D21" s="16" t="inlineStr">
        <is>
          <t>全部</t>
        </is>
      </c>
      <c r="E21" s="15" t="inlineStr">
        <is>
          <t>中</t>
        </is>
      </c>
      <c r="F21" s="17" t="inlineStr">
        <is>
          <t>IP／设备明细的复制按钮无作用</t>
        </is>
      </c>
      <c r="G21" s="16" t="inlineStr">
        <is>
          <t>1. 查看详情 → 设备与IP纪录 → 点击 IP 数字
2. 点击复制按钮</t>
        </is>
      </c>
      <c r="H21" s="16" t="inlineStr">
        <is>
          <t>无任何反应（没有绑定事件）</t>
        </is>
      </c>
      <c r="I21" s="16" t="inlineStr">
        <is>
          <t>复制内容并提示</t>
        </is>
      </c>
      <c r="J21" s="16" t="inlineStr">
        <is>
          <t>script.js:2984-2992 .ued-copy-btn</t>
        </is>
      </c>
      <c r="K21" s="15" t="inlineStr">
        <is>
          <t>待处理</t>
        </is>
      </c>
      <c r="L21" s="16" t="inlineStr"/>
    </row>
    <row r="22">
      <c r="A22" s="15" t="inlineStr">
        <is>
          <t>BUG-021</t>
        </is>
      </c>
      <c r="B22" s="15" t="inlineStr">
        <is>
          <t>第1轮</t>
        </is>
      </c>
      <c r="C22" s="16" t="inlineStr">
        <is>
          <t>用户抽屉</t>
        </is>
      </c>
      <c r="D22" s="16" t="inlineStr">
        <is>
          <t>全部</t>
        </is>
      </c>
      <c r="E22" s="15" t="inlineStr">
        <is>
          <t>中</t>
        </is>
      </c>
      <c r="F22" s="17" t="inlineStr">
        <is>
          <t>IP 明细笔数与入口数字不符、标题不明</t>
        </is>
      </c>
      <c r="G22" s="16" t="inlineStr">
        <is>
          <t>1. 查看详情 → 设备与IP纪录 → 点击「4,703」</t>
        </is>
      </c>
      <c r="H22" s="16" t="inlineStr">
        <is>
          <t>明细只有 3 笔；抽屉标题为通用的「详细内容」</t>
        </is>
      </c>
      <c r="I22" s="16" t="inlineStr">
        <is>
          <t>笔数与入口一致或显示分页；标题显示对应 IP／设备号</t>
        </is>
      </c>
      <c r="J22" s="16" t="inlineStr">
        <is>
          <t>openNestedDrawer</t>
        </is>
      </c>
      <c r="K22" s="15" t="inlineStr">
        <is>
          <t>待处理</t>
        </is>
      </c>
      <c r="L22" s="16" t="inlineStr"/>
    </row>
    <row r="23">
      <c r="A23" s="15" t="inlineStr">
        <is>
          <t>BUG-022</t>
        </is>
      </c>
      <c r="B23" s="15" t="inlineStr">
        <is>
          <t>第1轮</t>
        </is>
      </c>
      <c r="C23" s="16" t="inlineStr">
        <is>
          <t>无数据状态</t>
        </is>
      </c>
      <c r="D23" s="16" t="inlineStr">
        <is>
          <t>无数据</t>
        </is>
      </c>
      <c r="E23" s="15" t="inlineStr">
        <is>
          <t>中</t>
        </is>
      </c>
      <c r="F23" s="17" t="inlineStr">
        <is>
          <t>无数据时点「N/A」会员名仍打开编辑并显示假资料</t>
        </is>
      </c>
      <c r="G23" s="16" t="inlineStr">
        <is>
          <t>1. ?mock=nodata
2. 点击会员名「N/A」</t>
        </is>
      </c>
      <c r="H23" s="16" t="inlineStr">
        <is>
          <t>打开编辑抽屉，显示「目前状态：停用」及代理会员、VIP会员徽章</t>
        </is>
      </c>
      <c r="I23" s="16" t="inlineStr">
        <is>
          <t>无数据时不可点击，或抽屉内全部显示「-」</t>
        </is>
      </c>
      <c r="J23" s="16" t="inlineStr">
        <is>
          <t>openUserEditModal</t>
        </is>
      </c>
      <c r="K23" s="15" t="inlineStr">
        <is>
          <t>待处理</t>
        </is>
      </c>
      <c r="L23" s="16" t="inlineStr"/>
    </row>
    <row r="24">
      <c r="A24" s="15" t="inlineStr">
        <is>
          <t>BUG-023</t>
        </is>
      </c>
      <c r="B24" s="15" t="inlineStr">
        <is>
          <t>第1轮</t>
        </is>
      </c>
      <c r="C24" s="16" t="inlineStr">
        <is>
          <t>操作入口</t>
        </is>
      </c>
      <c r="D24" s="16" t="inlineStr">
        <is>
          <t>全部</t>
        </is>
      </c>
      <c r="E24" s="15" t="inlineStr">
        <is>
          <t>低</t>
        </is>
      </c>
      <c r="F24" s="17" t="inlineStr">
        <is>
          <t>多个按钮／链接点击无反应</t>
        </is>
      </c>
      <c r="G24" s="16" t="inlineStr">
        <is>
          <t>依序点击：新增会员、资料验证、批量操作各选项、导出数据各选项、巢状模式额度修改～下级注单、会员审核「通过／拒绝」、巢状三方余额「刷新」</t>
        </is>
      </c>
      <c r="H24" s="16" t="inlineStr">
        <is>
          <t>无任何弹窗或提示</t>
        </is>
      </c>
      <c r="I24" s="16" t="inlineStr">
        <is>
          <t>实作功能，或至少提示「功能开发中」</t>
        </is>
      </c>
      <c r="J24" s="16" t="inlineStr">
        <is>
          <t>content.html:31-48、各按钮无事件</t>
        </is>
      </c>
      <c r="K24" s="15" t="inlineStr">
        <is>
          <t>待处理</t>
        </is>
      </c>
      <c r="L24" s="16" t="inlineStr"/>
    </row>
    <row r="25">
      <c r="A25" s="15" t="inlineStr">
        <is>
          <t>BUG-024</t>
        </is>
      </c>
      <c r="B25" s="15" t="inlineStr">
        <is>
          <t>第1轮</t>
        </is>
      </c>
      <c r="C25" s="16" t="inlineStr">
        <is>
          <t>勾选与批量</t>
        </is>
      </c>
      <c r="D25" s="16" t="inlineStr">
        <is>
          <t>全部</t>
        </is>
      </c>
      <c r="E25" s="15" t="inlineStr">
        <is>
          <t>低</t>
        </is>
      </c>
      <c r="F25" s="17" t="inlineStr">
        <is>
          <t>未勾选用户即可执行批量操作</t>
        </is>
      </c>
      <c r="G25" s="16" t="inlineStr">
        <is>
          <t>1. 不勾选任何列
2. 批量操作 → 任一选项</t>
        </is>
      </c>
      <c r="H25" s="16" t="inlineStr">
        <is>
          <t>没有提示</t>
        </is>
      </c>
      <c r="I25" s="16" t="inlineStr">
        <is>
          <t>提示「请先选择用户」</t>
        </is>
      </c>
      <c r="J25" s="16" t="inlineStr">
        <is>
          <t>script.js:262-280</t>
        </is>
      </c>
      <c r="K25" s="15" t="inlineStr">
        <is>
          <t>待处理</t>
        </is>
      </c>
      <c r="L25" s="16" t="inlineStr"/>
    </row>
    <row r="26">
      <c r="A26" s="15" t="inlineStr">
        <is>
          <t>BUG-025</t>
        </is>
      </c>
      <c r="B26" s="15" t="inlineStr">
        <is>
          <t>第1轮</t>
        </is>
      </c>
      <c r="C26" s="16" t="inlineStr">
        <is>
          <t>筛选与搜寻</t>
        </is>
      </c>
      <c r="D26" s="16" t="inlineStr">
        <is>
          <t>全部</t>
        </is>
      </c>
      <c r="E26" s="15" t="inlineStr">
        <is>
          <t>低</t>
        </is>
      </c>
      <c r="F26" s="17" t="inlineStr">
        <is>
          <t>重置后下拉文字与初始不一致</t>
        </is>
      </c>
      <c r="G26" s="16" t="inlineStr">
        <is>
          <t>1. 点击「重置」</t>
        </is>
      </c>
      <c r="H26" s="16" t="inlineStr">
        <is>
          <t>显示「状态：所有」「主钱包币种：全部币种」，初始为「全部」</t>
        </is>
      </c>
      <c r="I26" s="16" t="inlineStr">
        <is>
          <t>文字一致</t>
        </is>
      </c>
      <c r="J26" s="16" t="inlineStr">
        <is>
          <t>重置逻辑</t>
        </is>
      </c>
      <c r="K26" s="15" t="inlineStr">
        <is>
          <t>待处理</t>
        </is>
      </c>
      <c r="L26" s="16" t="inlineStr"/>
    </row>
    <row r="27">
      <c r="A27" s="15" t="inlineStr">
        <is>
          <t>BUG-026</t>
        </is>
      </c>
      <c r="B27" s="15" t="inlineStr">
        <is>
          <t>第1轮</t>
        </is>
      </c>
      <c r="C27" s="16" t="inlineStr">
        <is>
          <t>筛选与搜寻</t>
        </is>
      </c>
      <c r="D27" s="16" t="inlineStr">
        <is>
          <t>全部</t>
        </is>
      </c>
      <c r="E27" s="15" t="inlineStr">
        <is>
          <t>低</t>
        </is>
      </c>
      <c r="F27" s="17" t="inlineStr">
        <is>
          <t>UID／昵称搜寻的标签文字错误</t>
        </is>
      </c>
      <c r="G27" s="16" t="inlineStr">
        <is>
          <t>1. 账号类型切到「用户ID」或「用户昵称」
2. 搜寻</t>
        </is>
      </c>
      <c r="H27" s="16" t="inlineStr">
        <is>
          <t>标签显示「账号: xxx」</t>
        </is>
      </c>
      <c r="I27" s="16" t="inlineStr">
        <is>
          <t>显示「用户ID: xxx」「用户昵称: xxx」</t>
        </is>
      </c>
      <c r="J27" s="16" t="inlineStr">
        <is>
          <t>标签生成逻辑</t>
        </is>
      </c>
      <c r="K27" s="15" t="inlineStr">
        <is>
          <t>待处理</t>
        </is>
      </c>
      <c r="L27" s="16" t="inlineStr"/>
    </row>
    <row r="28">
      <c r="A28" s="15" t="inlineStr">
        <is>
          <t>BUG-027</t>
        </is>
      </c>
      <c r="B28" s="15" t="inlineStr">
        <is>
          <t>第1轮</t>
        </is>
      </c>
      <c r="C28" s="16" t="inlineStr">
        <is>
          <t>极限状态</t>
        </is>
      </c>
      <c r="D28" s="16" t="inlineStr">
        <is>
          <t>极限</t>
        </is>
      </c>
      <c r="E28" s="15" t="inlineStr">
        <is>
          <t>低</t>
        </is>
      </c>
      <c r="F28" s="17" t="inlineStr">
        <is>
          <t>极限模式筛选标签与资料不符、日期标签重复</t>
        </is>
      </c>
      <c r="G28" s="16" t="inlineStr">
        <is>
          <t>1. ?mock=extreme
2. 查看标签与列表</t>
        </is>
      </c>
      <c r="H28" s="16" t="inlineStr">
        <is>
          <t>标签「状态: 停用」但列表皆为「正常」（极限模式跳过过滤）；同时出现「新增时间」与「时间」两个日期标签</t>
        </is>
      </c>
      <c r="I28" s="16" t="inlineStr">
        <is>
          <t>标签与资料一致；日期标签只出现一次</t>
        </is>
      </c>
      <c r="J28" s="16" t="inlineStr">
        <is>
          <t>script.js:1371、1113-1133</t>
        </is>
      </c>
      <c r="K28" s="15" t="inlineStr">
        <is>
          <t>待处理</t>
        </is>
      </c>
      <c r="L28" s="16" t="inlineStr"/>
    </row>
    <row r="29">
      <c r="A29" s="15" t="inlineStr">
        <is>
          <t>BUG-028</t>
        </is>
      </c>
      <c r="B29" s="15" t="inlineStr">
        <is>
          <t>第1轮</t>
        </is>
      </c>
      <c r="C29" s="16" t="inlineStr">
        <is>
          <t>极限状态</t>
        </is>
      </c>
      <c r="D29" s="16" t="inlineStr">
        <is>
          <t>极限 / 压缩模式</t>
        </is>
      </c>
      <c r="E29" s="15" t="inlineStr">
        <is>
          <t>低</t>
        </is>
      </c>
      <c r="F29" s="17" t="inlineStr">
        <is>
          <t>长金额在列表被截断</t>
        </is>
      </c>
      <c r="G29" s="16" t="inlineStr">
        <is>
          <t>1. ?mock=extreme
2. 切到压缩模式查看可用额度／三方余额</t>
        </is>
      </c>
      <c r="H29" s="16" t="inlineStr">
        <is>
          <t>99,999,999,999.99 显示不完整</t>
        </is>
      </c>
      <c r="I29" s="16" t="inlineStr">
        <is>
          <t>完整显示或以 tooltip 显示完整数值</t>
        </is>
      </c>
      <c r="J29" s="16" t="inlineStr">
        <is>
          <t>列宽设定</t>
        </is>
      </c>
      <c r="K29" s="15" t="inlineStr">
        <is>
          <t>待处理</t>
        </is>
      </c>
      <c r="L29" s="16" t="inlineStr"/>
    </row>
    <row r="30">
      <c r="A30" s="15" t="inlineStr">
        <is>
          <t>BUG-029</t>
        </is>
      </c>
      <c r="B30" s="15" t="inlineStr">
        <is>
          <t>第1轮</t>
        </is>
      </c>
      <c r="C30" s="16" t="inlineStr">
        <is>
          <t>响应式与版面</t>
        </is>
      </c>
      <c r="D30" s="16" t="inlineStr">
        <is>
          <t>极限</t>
        </is>
      </c>
      <c r="E30" s="15" t="inlineStr">
        <is>
          <t>低</t>
        </is>
      </c>
      <c r="F30" s="17" t="inlineStr">
        <is>
          <t>极限模式底部统计列文字换行</t>
        </is>
      </c>
      <c r="G30" s="16" t="inlineStr">
        <is>
          <t>1. ?mock=extreme
2. 查看底部统计列</t>
        </is>
      </c>
      <c r="H30" s="16" t="inlineStr">
        <is>
          <t>「当日注册」「当日注册有效用户（首充）」换成两行</t>
        </is>
      </c>
      <c r="I30" s="16" t="inlineStr">
        <is>
          <t>单行显示或调整版面</t>
        </is>
      </c>
      <c r="J30" s="16" t="inlineStr">
        <is>
          <t>#bottomStatsBar</t>
        </is>
      </c>
      <c r="K30" s="15" t="inlineStr">
        <is>
          <t>待处理</t>
        </is>
      </c>
      <c r="L30" s="16" t="inlineStr"/>
    </row>
    <row r="31">
      <c r="A31" s="15" t="inlineStr">
        <is>
          <t>BUG-030</t>
        </is>
      </c>
      <c r="B31" s="15" t="inlineStr">
        <is>
          <t>第1轮</t>
        </is>
      </c>
      <c r="C31" s="16" t="inlineStr">
        <is>
          <t>响应式与版面</t>
        </is>
      </c>
      <c r="D31" s="16" t="inlineStr">
        <is>
          <t>768px</t>
        </is>
      </c>
      <c r="E31" s="15" t="inlineStr">
        <is>
          <t>低</t>
        </is>
      </c>
      <c r="F31" s="17" t="inlineStr">
        <is>
          <t>768 宽度底部统计列大量换行且收合按钮遮字</t>
        </is>
      </c>
      <c r="G31" s="16" t="inlineStr">
        <is>
          <t>1. 视窗宽度 768
2. 查看底部统计列</t>
        </is>
      </c>
      <c r="H31" s="16" t="inlineStr">
        <is>
          <t>文字大量换行，中间收合按钮遮住「三方游戏总余额」</t>
        </is>
      </c>
      <c r="I31" s="16" t="inlineStr">
        <is>
          <t>窄版时改为可横向卷动或精简显示</t>
        </is>
      </c>
      <c r="J31" s="16" t="inlineStr">
        <is>
          <t>#bottomStatsBar、#btnToggleStats</t>
        </is>
      </c>
      <c r="K31" s="15" t="inlineStr">
        <is>
          <t>待处理</t>
        </is>
      </c>
      <c r="L31" s="16" t="inlineStr"/>
    </row>
    <row r="32">
      <c r="A32" s="15" t="inlineStr">
        <is>
          <t>BUG-031</t>
        </is>
      </c>
      <c r="B32" s="15" t="inlineStr">
        <is>
          <t>第1轮</t>
        </is>
      </c>
      <c r="C32" s="16" t="inlineStr">
        <is>
          <t>自订筛选</t>
        </is>
      </c>
      <c r="D32" s="16" t="inlineStr">
        <is>
          <t>全部</t>
        </is>
      </c>
      <c r="E32" s="15" t="inlineStr">
        <is>
          <t>低</t>
        </is>
      </c>
      <c r="F32" s="17" t="inlineStr">
        <is>
          <t>「用户标签」不在自订筛选清单中</t>
        </is>
      </c>
      <c r="G32" s="16" t="inlineStr">
        <is>
          <t>1. 打开自订筛选栏位</t>
        </is>
      </c>
      <c r="H32" s="16" t="inlineStr">
        <is>
          <t>清单没有「用户标签」，无法隐藏此筛选</t>
        </is>
      </c>
      <c r="I32" s="16" t="inlineStr">
        <is>
          <t>所有篩選欄位都可自订</t>
        </is>
      </c>
      <c r="J32" s="16" t="inlineStr">
        <is>
          <t>content.html 自订筛选弹窗</t>
        </is>
      </c>
      <c r="K32" s="15" t="inlineStr">
        <is>
          <t>待处理</t>
        </is>
      </c>
      <c r="L32" s="16" t="inlineStr"/>
    </row>
    <row r="33">
      <c r="A33" s="15" t="inlineStr">
        <is>
          <t>BUG-032</t>
        </is>
      </c>
      <c r="B33" s="15" t="inlineStr">
        <is>
          <t>第1轮</t>
        </is>
      </c>
      <c r="C33" s="16" t="inlineStr">
        <is>
          <t>列表模式</t>
        </is>
      </c>
      <c r="D33" s="16" t="inlineStr">
        <is>
          <t>压缩模式</t>
        </is>
      </c>
      <c r="E33" s="15" t="inlineStr">
        <is>
          <t>低</t>
        </is>
      </c>
      <c r="F33" s="17" t="inlineStr">
        <is>
          <t>展开栏与勾选栏固定栏位重叠约 5px</t>
        </is>
      </c>
      <c r="G33" s="16" t="inlineStr">
        <is>
          <t>1. 压缩模式横向卷动表格</t>
        </is>
      </c>
      <c r="H33" s="16" t="inlineStr">
        <is>
          <t>展开栏（0–45px）与勾选栏（40–81px）重叠</t>
        </is>
      </c>
      <c r="I33" s="16" t="inlineStr">
        <is>
          <t>固定栏位不重叠</t>
        </is>
      </c>
      <c r="J33" s="16" t="inlineStr">
        <is>
          <t>sticky left 计算</t>
        </is>
      </c>
      <c r="K33" s="15" t="inlineStr">
        <is>
          <t>待处理</t>
        </is>
      </c>
      <c r="L33" s="16" t="inlineStr"/>
    </row>
    <row r="34">
      <c r="A34" s="15" t="inlineStr">
        <is>
          <t>BUG-033</t>
        </is>
      </c>
      <c r="B34" s="15" t="inlineStr">
        <is>
          <t>第2轮</t>
        </is>
      </c>
      <c r="C34" s="16" t="inlineStr">
        <is>
          <t>操作入口</t>
        </is>
      </c>
      <c r="D34" s="16" t="inlineStr">
        <is>
          <t>全部</t>
        </is>
      </c>
      <c r="E34" s="15" t="inlineStr">
        <is>
          <t>高</t>
        </is>
      </c>
      <c r="F34" s="17" t="inlineStr">
        <is>
          <t>查看详情内容固定为 mingv0717001</t>
        </is>
      </c>
      <c r="G34" s="16" t="inlineStr">
        <is>
          <t>1. 从任一列（例：test_user_3）的操作选单点「查看详情」</t>
        </is>
      </c>
      <c r="H34" s="16" t="inlineStr">
        <is>
          <t>抽屉标题正确，但内容账号／昵称／真实姓名固定为 mingv0717001 / mi***01 / 王*明</t>
        </is>
      </c>
      <c r="I34" s="16" t="inlineStr">
        <is>
          <t>显示该列用户的资料（编辑用户可正确带入）</t>
        </is>
      </c>
      <c r="J34" s="16" t="inlineStr">
        <is>
          <t>openUserDetailModal、content.html 查看详情抽屉</t>
        </is>
      </c>
      <c r="K34" s="15" t="inlineStr">
        <is>
          <t>待处理</t>
        </is>
      </c>
      <c r="L34" s="16" t="inlineStr"/>
    </row>
    <row r="35">
      <c r="A35" s="15" t="inlineStr">
        <is>
          <t>BUG-034</t>
        </is>
      </c>
      <c r="B35" s="15" t="inlineStr">
        <is>
          <t>第2轮</t>
        </is>
      </c>
      <c r="C35" s="16" t="inlineStr">
        <is>
          <t>操作入口</t>
        </is>
      </c>
      <c r="D35" s="16" t="inlineStr">
        <is>
          <t>压缩模式</t>
        </is>
      </c>
      <c r="E35" s="15" t="inlineStr">
        <is>
          <t>中</t>
        </is>
      </c>
      <c r="F35" s="17" t="inlineStr">
        <is>
          <t>「…」操作选单只能 hover，点击无效</t>
        </is>
      </c>
      <c r="G35" s="16" t="inlineStr">
        <is>
          <t>1. 压缩模式点击操作栏「…」
2. 移开滑鼠</t>
        </is>
      </c>
      <c r="H35" s="16" t="inlineStr">
        <is>
          <t>选单仅靠 CSS :hover 显示；点击加上的 show class 没有样式；触控装置无法打开</t>
        </is>
      </c>
      <c r="I35" s="16" t="inlineStr">
        <is>
          <t>点击可开关选单，点外部关闭</t>
        </is>
      </c>
      <c r="J35" s="16" t="inlineStr">
        <is>
          <t>style.css .op-dropdown-container:hover；script.js:2197-2206</t>
        </is>
      </c>
      <c r="K35" s="15" t="inlineStr">
        <is>
          <t>待处理</t>
        </is>
      </c>
      <c r="L35" s="16" t="inlineStr"/>
    </row>
    <row r="36">
      <c r="A36" s="15" t="inlineStr">
        <is>
          <t>BUG-035</t>
        </is>
      </c>
      <c r="B36" s="15" t="inlineStr">
        <is>
          <t>第2轮</t>
        </is>
      </c>
      <c r="C36" s="16" t="inlineStr">
        <is>
          <t>操作入口</t>
        </is>
      </c>
      <c r="D36" s="16" t="inlineStr">
        <is>
          <t>压缩模式</t>
        </is>
      </c>
      <c r="E36" s="15" t="inlineStr">
        <is>
          <t>中</t>
        </is>
      </c>
      <c r="F36" s="17" t="inlineStr">
        <is>
          <t>底部列的操作选单被遮挡</t>
        </is>
      </c>
      <c r="G36" s="16" t="inlineStr">
        <is>
          <t>1. 压缩模式卷到表格最后一列
2. hover「…」</t>
        </is>
      </c>
      <c r="H36" s="16" t="inlineStr">
        <is>
          <t>选单往下展开，被底部统计列与表格边界遮住，25 项只看得到 3–4 项</t>
        </is>
      </c>
      <c r="I36" s="16" t="inlineStr">
        <is>
          <t>空间不足时往上展开，或以浮层方式显示</t>
        </is>
      </c>
      <c r="J36" s="16" t="inlineStr">
        <is>
          <t>style.css .op-dropdown-menu</t>
        </is>
      </c>
      <c r="K36" s="15" t="inlineStr">
        <is>
          <t>待处理</t>
        </is>
      </c>
      <c r="L36" s="16" t="inlineStr"/>
    </row>
    <row r="37">
      <c r="A37" s="15" t="inlineStr">
        <is>
          <t>BUG-036</t>
        </is>
      </c>
      <c r="B37" s="15" t="inlineStr">
        <is>
          <t>第2轮</t>
        </is>
      </c>
      <c r="C37" s="16" t="inlineStr">
        <is>
          <t>操作入口</t>
        </is>
      </c>
      <c r="D37" s="16" t="inlineStr">
        <is>
          <t>压缩模式</t>
        </is>
      </c>
      <c r="E37" s="15" t="inlineStr">
        <is>
          <t>低</t>
        </is>
      </c>
      <c r="F37" s="17" t="inlineStr">
        <is>
          <t>操作选单 23 项点击无反应、与巢状模式不一致</t>
        </is>
      </c>
      <c r="G37" s="16" t="inlineStr">
        <is>
          <t>1. 压缩模式操作选单点「额度修改」等项目
2. 对照巢状模式「更多...」</t>
        </is>
      </c>
      <c r="H37" s="16" t="inlineStr">
        <is>
          <t>压缩模式无反应；巢状模式跳出 alert「触发操作：…」</t>
        </is>
      </c>
      <c r="I37" s="16" t="inlineStr">
        <is>
          <t>两种模式行为一致</t>
        </is>
      </c>
      <c r="J37" s="16" t="inlineStr">
        <is>
          <t>script.js:2222-2224、2229-2234</t>
        </is>
      </c>
      <c r="K37" s="15" t="inlineStr">
        <is>
          <t>待处理</t>
        </is>
      </c>
      <c r="L37" s="16" t="inlineStr"/>
    </row>
    <row r="38">
      <c r="A38" s="15" t="inlineStr">
        <is>
          <t>BUG-037</t>
        </is>
      </c>
      <c r="B38" s="15" t="inlineStr">
        <is>
          <t>第2轮</t>
        </is>
      </c>
      <c r="C38" s="16" t="inlineStr">
        <is>
          <t>操作入口</t>
        </is>
      </c>
      <c r="D38" s="16" t="inlineStr">
        <is>
          <t>全部</t>
        </is>
      </c>
      <c r="E38" s="15" t="inlineStr">
        <is>
          <t>低</t>
        </is>
      </c>
      <c r="F38" s="17" t="inlineStr">
        <is>
          <t>选单文字「纪录／记录」不一致</t>
        </is>
      </c>
      <c r="G38" s="16" t="inlineStr">
        <is>
          <t>1. 对照两种模式的操作选单</t>
        </is>
      </c>
      <c r="H38" s="16" t="inlineStr">
        <is>
          <t>压缩模式「用户标签编辑纪录」，巢状模式「用户标签编辑记录」</t>
        </is>
      </c>
      <c r="I38" s="16" t="inlineStr">
        <is>
          <t>用词统一</t>
        </is>
      </c>
      <c r="J38" s="16" t="inlineStr">
        <is>
          <t>script.js:832</t>
        </is>
      </c>
      <c r="K38" s="15" t="inlineStr">
        <is>
          <t>待处理</t>
        </is>
      </c>
      <c r="L38" s="16" t="inlineStr"/>
    </row>
    <row r="39">
      <c r="A39" s="15" t="inlineStr">
        <is>
          <t>BUG-038</t>
        </is>
      </c>
      <c r="B39" s="15" t="inlineStr">
        <is>
          <t>第2轮</t>
        </is>
      </c>
      <c r="C39" s="16" t="inlineStr">
        <is>
          <t>操作入口</t>
        </is>
      </c>
      <c r="D39" s="16" t="inlineStr">
        <is>
          <t>全部</t>
        </is>
      </c>
      <c r="E39" s="15" t="inlineStr">
        <is>
          <t>低</t>
        </is>
      </c>
      <c r="F39" s="17" t="inlineStr">
        <is>
          <t>#globalCompactActionMenu 为无效程式码</t>
        </is>
      </c>
      <c r="G39" s="16" t="inlineStr">
        <is>
          <t>程式码检查</t>
        </is>
      </c>
      <c r="H39" s="16" t="inlineStr">
        <is>
          <t>整份选单没有任何入口会打开</t>
        </is>
      </c>
      <c r="I39" s="16" t="inlineStr">
        <is>
          <t>移除</t>
        </is>
      </c>
      <c r="J39" s="16" t="inlineStr">
        <is>
          <t>script.js:3263-3324</t>
        </is>
      </c>
      <c r="K39" s="15" t="inlineStr">
        <is>
          <t>待处理</t>
        </is>
      </c>
      <c r="L39" s="16" t="inlineStr"/>
    </row>
    <row r="40">
      <c r="A40" s="15" t="inlineStr">
        <is>
          <t>BUG-039</t>
        </is>
      </c>
      <c r="B40" s="15" t="inlineStr">
        <is>
          <t>第2轮</t>
        </is>
      </c>
      <c r="C40" s="16" t="inlineStr">
        <is>
          <t>列表模式</t>
        </is>
      </c>
      <c r="D40" s="16" t="inlineStr">
        <is>
          <t>压缩模式</t>
        </is>
      </c>
      <c r="E40" s="15" t="inlineStr">
        <is>
          <t>中</t>
        </is>
      </c>
      <c r="F40" s="17" t="inlineStr">
        <is>
          <t>展开列卡片随表格横向卷走</t>
        </is>
      </c>
      <c r="G40" s="16" t="inlineStr">
        <is>
          <t>1. 压缩模式展开任一列
2. 将表格往右卷到底</t>
        </is>
      </c>
      <c r="H40" s="16" t="inlineStr">
        <is>
          <t>展开区卡片跟着卷动，左缘到 −776px，内容看不到</t>
        </is>
      </c>
      <c r="I40" s="16" t="inlineStr">
        <is>
          <t>展开区固定在可视范围内</t>
        </is>
      </c>
      <c r="J40" s="16" t="inlineStr">
        <is>
          <t>.expanded-detail-row .detail-cards-wrapper</t>
        </is>
      </c>
      <c r="K40" s="15" t="inlineStr">
        <is>
          <t>待处理</t>
        </is>
      </c>
      <c r="L40" s="16" t="inlineStr"/>
    </row>
    <row r="41">
      <c r="A41" s="15" t="inlineStr">
        <is>
          <t>BUG-040</t>
        </is>
      </c>
      <c r="B41" s="15" t="inlineStr">
        <is>
          <t>第2轮</t>
        </is>
      </c>
      <c r="C41" s="16" t="inlineStr">
        <is>
          <t>列表模式</t>
        </is>
      </c>
      <c r="D41" s="16" t="inlineStr">
        <is>
          <t>压缩模式</t>
        </is>
      </c>
      <c r="E41" s="15" t="inlineStr">
        <is>
          <t>低</t>
        </is>
      </c>
      <c r="F41" s="17" t="inlineStr">
        <is>
          <t>展开／收合列时整张表宽度跳动</t>
        </is>
      </c>
      <c r="G41" s="16" t="inlineStr">
        <is>
          <t>1. 压缩模式展开任一列</t>
        </is>
      </c>
      <c r="H41" s="16" t="inlineStr">
        <is>
          <t>表格宽度 2114px → 2227px，所有栏位跟着变宽</t>
        </is>
      </c>
      <c r="I41" s="16" t="inlineStr">
        <is>
          <t>展开不影响栏宽</t>
        </is>
      </c>
      <c r="J41" s="16" t="inlineStr">
        <is>
          <t>.detail-cards-wrapper 宽度</t>
        </is>
      </c>
      <c r="K41" s="15" t="inlineStr">
        <is>
          <t>待处理</t>
        </is>
      </c>
      <c r="L41" s="16" t="inlineStr"/>
    </row>
    <row r="42">
      <c r="A42" s="15" t="inlineStr">
        <is>
          <t>BUG-041</t>
        </is>
      </c>
      <c r="B42" s="15" t="inlineStr">
        <is>
          <t>第2轮</t>
        </is>
      </c>
      <c r="C42" s="16" t="inlineStr">
        <is>
          <t>列表模式</t>
        </is>
      </c>
      <c r="D42" s="16" t="inlineStr">
        <is>
          <t>压缩模式</t>
        </is>
      </c>
      <c r="E42" s="15" t="inlineStr">
        <is>
          <t>低</t>
        </is>
      </c>
      <c r="F42" s="17" t="inlineStr">
        <is>
          <t>调整的栏宽在换页后遗失</t>
        </is>
      </c>
      <c r="G42" s="16" t="inlineStr">
        <is>
          <t>1. 拖曳代理栏宽到 185px
2. 切到下一页</t>
        </is>
      </c>
      <c r="H42" s="16" t="inlineStr">
        <is>
          <t>栏宽恢复成 105px</t>
        </is>
      </c>
      <c r="I42" s="16" t="inlineStr">
        <is>
          <t>保留使用者调整的栏宽</t>
        </is>
      </c>
      <c r="J42" s="16" t="inlineStr">
        <is>
          <t>setupTableResizing</t>
        </is>
      </c>
      <c r="K42" s="15" t="inlineStr">
        <is>
          <t>待处理</t>
        </is>
      </c>
      <c r="L42" s="16" t="inlineStr"/>
    </row>
    <row r="43">
      <c r="A43" s="15" t="inlineStr">
        <is>
          <t>BUG-042</t>
        </is>
      </c>
      <c r="B43" s="15" t="inlineStr">
        <is>
          <t>第2轮</t>
        </is>
      </c>
      <c r="C43" s="16" t="inlineStr">
        <is>
          <t>列表模式</t>
        </is>
      </c>
      <c r="D43" s="16" t="inlineStr">
        <is>
          <t>压缩模式</t>
        </is>
      </c>
      <c r="E43" s="15" t="inlineStr">
        <is>
          <t>低</t>
        </is>
      </c>
      <c r="F43" s="17" t="inlineStr">
        <is>
          <t>三方余额刷新无 loading 状态</t>
        </is>
      </c>
      <c r="G43" s="16" t="inlineStr">
        <is>
          <t>1. 点击三方余额旁的刷新图示</t>
        </is>
      </c>
      <c r="H43" s="16" t="inlineStr">
        <is>
          <t>约 0.5 秒后才出现提示，期间无任何回馈</t>
        </is>
      </c>
      <c r="I43" s="16" t="inlineStr">
        <is>
          <t>点击后立即显示 loading</t>
        </is>
      </c>
      <c r="J43" s="16" t="inlineStr">
        <is>
          <t>script.js 刷新事件</t>
        </is>
      </c>
      <c r="K43" s="15" t="inlineStr">
        <is>
          <t>待处理</t>
        </is>
      </c>
      <c r="L43" s="16" t="inlineStr"/>
    </row>
    <row r="44">
      <c r="A44" s="15" t="inlineStr">
        <is>
          <t>BUG-043</t>
        </is>
      </c>
      <c r="B44" s="15" t="inlineStr">
        <is>
          <t>第2轮</t>
        </is>
      </c>
      <c r="C44" s="16" t="inlineStr">
        <is>
          <t>自订筛选</t>
        </is>
      </c>
      <c r="D44" s="16" t="inlineStr">
        <is>
          <t>全部</t>
        </is>
      </c>
      <c r="E44" s="15" t="inlineStr">
        <is>
          <t>高</t>
        </is>
      </c>
      <c r="F44" s="17" t="inlineStr">
        <is>
          <t>取消／关闭不会还原勾选状态</t>
        </is>
      </c>
      <c r="G44" s="16" t="inlineStr">
        <is>
          <t>1. 打开自订筛选，取消勾选几项
2. 点「取消」或 ✕ 或弹窗外
3. 重新打开</t>
        </is>
      </c>
      <c r="H44" s="16" t="inlineStr">
        <is>
          <t>勾选状态保留未生效的修改（13 → 11 → 10 → 9），下次「确认」会一并套用</t>
        </is>
      </c>
      <c r="I44" s="16" t="inlineStr">
        <is>
          <t>取消／关闭时还原为目前生效的设定</t>
        </is>
      </c>
      <c r="J44" s="16" t="inlineStr">
        <is>
          <t>script.js:2681-2730</t>
        </is>
      </c>
      <c r="K44" s="15" t="inlineStr">
        <is>
          <t>待处理</t>
        </is>
      </c>
      <c r="L44" s="16" t="inlineStr"/>
    </row>
    <row r="45">
      <c r="A45" s="15" t="inlineStr">
        <is>
          <t>BUG-044</t>
        </is>
      </c>
      <c r="B45" s="15" t="inlineStr">
        <is>
          <t>第2轮</t>
        </is>
      </c>
      <c r="C45" s="16" t="inlineStr">
        <is>
          <t>自订筛选</t>
        </is>
      </c>
      <c r="D45" s="16" t="inlineStr">
        <is>
          <t>全部</t>
        </is>
      </c>
      <c r="E45" s="15" t="inlineStr">
        <is>
          <t>中</t>
        </is>
      </c>
      <c r="F45" s="17" t="inlineStr">
        <is>
          <t>进阶筛选抽屉栏位与主列重复</t>
        </is>
      </c>
      <c r="G45" s="16" t="inlineStr">
        <is>
          <t>1. 隐藏部分筛选
2. 打开「进阶筛选条件」</t>
        </is>
      </c>
      <c r="H45" s="16" t="inlineStr">
        <is>
          <t>抽屉列出所有进阶栏位，包括主列仍显示的未登入天数／VIP会员等级／存款金额大于</t>
        </is>
      </c>
      <c r="I45" s="16" t="inlineStr">
        <is>
          <t>抽屉只显示被隐藏的栏位</t>
        </is>
      </c>
      <c r="J45" s="16" t="inlineStr">
        <is>
          <t>content.html:378-460</t>
        </is>
      </c>
      <c r="K45" s="15" t="inlineStr">
        <is>
          <t>待处理</t>
        </is>
      </c>
      <c r="L45" s="16" t="inlineStr"/>
    </row>
    <row r="46">
      <c r="A46" s="15" t="inlineStr">
        <is>
          <t>BUG-045</t>
        </is>
      </c>
      <c r="B46" s="15" t="inlineStr">
        <is>
          <t>第2轮</t>
        </is>
      </c>
      <c r="C46" s="16" t="inlineStr">
        <is>
          <t>自订筛选</t>
        </is>
      </c>
      <c r="D46" s="16" t="inlineStr">
        <is>
          <t>全部</t>
        </is>
      </c>
      <c r="E46" s="15" t="inlineStr">
        <is>
          <t>中</t>
        </is>
      </c>
      <c r="F46" s="17" t="inlineStr">
        <is>
          <t>隐藏「用户层级」后无处可用</t>
        </is>
      </c>
      <c r="G46" s="16" t="inlineStr">
        <is>
          <t>1. 自订筛选取消「用户层级」
2. 打开进阶筛选抽屉</t>
        </is>
      </c>
      <c r="H46" s="16" t="inlineStr">
        <is>
          <t>抽屉内没有用户层级</t>
        </is>
      </c>
      <c r="I46" s="16" t="inlineStr">
        <is>
          <t>被隐藏的栏位都能在进阶抽屉中找到</t>
        </is>
      </c>
      <c r="J46" s="16" t="inlineStr">
        <is>
          <t>进阶筛选抽屉</t>
        </is>
      </c>
      <c r="K46" s="15" t="inlineStr">
        <is>
          <t>待处理</t>
        </is>
      </c>
      <c r="L46" s="16" t="inlineStr"/>
    </row>
    <row r="47">
      <c r="A47" s="15" t="inlineStr">
        <is>
          <t>BUG-046</t>
        </is>
      </c>
      <c r="B47" s="15" t="inlineStr">
        <is>
          <t>第2轮</t>
        </is>
      </c>
      <c r="C47" s="16" t="inlineStr">
        <is>
          <t>自订筛选</t>
        </is>
      </c>
      <c r="D47" s="16" t="inlineStr">
        <is>
          <t>全部</t>
        </is>
      </c>
      <c r="E47" s="15" t="inlineStr">
        <is>
          <t>中</t>
        </is>
      </c>
      <c r="F47" s="17" t="inlineStr">
        <is>
          <t>进阶筛选抽屉版面错乱</t>
        </is>
      </c>
      <c r="G47" s="16" t="inlineStr">
        <is>
          <t>1. 打开进阶筛选抽屉</t>
        </is>
      </c>
      <c r="H47" s="16" t="inlineStr">
        <is>
          <t>「生日月份」标签换行、选单被挤到只剩箭头；「新增时间范围」输入框超出抽屉右边界</t>
        </is>
      </c>
      <c r="I47" s="16" t="inlineStr">
        <is>
          <t>栏位排版完整</t>
        </is>
      </c>
      <c r="J47" s="16" t="inlineStr">
        <is>
          <t>style.css .advanced-filter-drawer</t>
        </is>
      </c>
      <c r="K47" s="15" t="inlineStr">
        <is>
          <t>待处理</t>
        </is>
      </c>
      <c r="L47" s="16" t="inlineStr"/>
    </row>
    <row r="48">
      <c r="A48" s="15" t="inlineStr">
        <is>
          <t>BUG-047</t>
        </is>
      </c>
      <c r="B48" s="15" t="inlineStr">
        <is>
          <t>第2轮</t>
        </is>
      </c>
      <c r="C48" s="16" t="inlineStr">
        <is>
          <t>自订筛选</t>
        </is>
      </c>
      <c r="D48" s="16" t="inlineStr">
        <is>
          <t>全部</t>
        </is>
      </c>
      <c r="E48" s="15" t="inlineStr">
        <is>
          <t>低</t>
        </is>
      </c>
      <c r="F48" s="17" t="inlineStr">
        <is>
          <t>进阶筛选抽屉多出「近」字</t>
        </is>
      </c>
      <c r="G48" s="16" t="inlineStr">
        <is>
          <t>1. 打开进阶筛选抽屉</t>
        </is>
      </c>
      <c r="H48" s="16" t="inlineStr">
        <is>
          <t>栏位下方显示一个「近」字</t>
        </is>
      </c>
      <c r="I48" s="16" t="inlineStr">
        <is>
          <t>移除</t>
        </is>
      </c>
      <c r="J48" s="16" t="inlineStr">
        <is>
          <t>content.html:455（&lt;/div&gt;近）</t>
        </is>
      </c>
      <c r="K48" s="15" t="inlineStr">
        <is>
          <t>待处理</t>
        </is>
      </c>
      <c r="L48" s="16" t="inlineStr"/>
    </row>
    <row r="49">
      <c r="A49" s="15" t="inlineStr">
        <is>
          <t>BUG-048</t>
        </is>
      </c>
      <c r="B49" s="15" t="inlineStr">
        <is>
          <t>第2轮</t>
        </is>
      </c>
      <c r="C49" s="16" t="inlineStr">
        <is>
          <t>自订筛选</t>
        </is>
      </c>
      <c r="D49" s="16" t="inlineStr">
        <is>
          <t>全部</t>
        </is>
      </c>
      <c r="E49" s="15" t="inlineStr">
        <is>
          <t>低</t>
        </is>
      </c>
      <c r="F49" s="17" t="inlineStr">
        <is>
          <t>可取消全部筛选项目且无提示</t>
        </is>
      </c>
      <c r="G49" s="16" t="inlineStr">
        <is>
          <t>1. 自订筛选取消所有勾选
2. 点「确认」</t>
        </is>
      </c>
      <c r="H49" s="16" t="inlineStr">
        <is>
          <t>筛选列只剩账号搜寻，无提示</t>
        </is>
      </c>
      <c r="I49" s="16" t="inlineStr">
        <is>
          <t>至少保留一项或给出提示</t>
        </is>
      </c>
      <c r="J49" s="16" t="inlineStr">
        <is>
          <t>自订筛选确认逻辑</t>
        </is>
      </c>
      <c r="K49" s="15" t="inlineStr">
        <is>
          <t>待处理</t>
        </is>
      </c>
      <c r="L49" s="16" t="inlineStr"/>
    </row>
    <row r="50">
      <c r="A50" s="15" t="inlineStr">
        <is>
          <t>BUG-049</t>
        </is>
      </c>
      <c r="B50" s="15" t="inlineStr">
        <is>
          <t>第2轮</t>
        </is>
      </c>
      <c r="C50" s="16" t="inlineStr">
        <is>
          <t>自订筛选</t>
        </is>
      </c>
      <c r="D50" s="16" t="inlineStr">
        <is>
          <t>全部</t>
        </is>
      </c>
      <c r="E50" s="15" t="inlineStr">
        <is>
          <t>低</t>
        </is>
      </c>
      <c r="F50" s="17" t="inlineStr">
        <is>
          <t>入口与弹窗标题用词不一致</t>
        </is>
      </c>
      <c r="G50" s="16" t="inlineStr">
        <is>
          <t>1. 点「自订筛选栏位」</t>
        </is>
      </c>
      <c r="H50" s="16" t="inlineStr">
        <is>
          <t>弹窗标题为「自订筛选维度」</t>
        </is>
      </c>
      <c r="I50" s="16" t="inlineStr">
        <is>
          <t>用词一致</t>
        </is>
      </c>
      <c r="J50" s="16" t="inlineStr">
        <is>
          <t>content.html 自订筛选弹窗</t>
        </is>
      </c>
      <c r="K50" s="15" t="inlineStr">
        <is>
          <t>待处理</t>
        </is>
      </c>
      <c r="L50" s="16" t="inlineStr"/>
    </row>
    <row r="51">
      <c r="A51" s="15" t="inlineStr">
        <is>
          <t>BUG-050</t>
        </is>
      </c>
      <c r="B51" s="15" t="inlineStr">
        <is>
          <t>第2轮</t>
        </is>
      </c>
      <c r="C51" s="16" t="inlineStr">
        <is>
          <t>自订栏位</t>
        </is>
      </c>
      <c r="D51" s="16" t="inlineStr">
        <is>
          <t>压缩模式</t>
        </is>
      </c>
      <c r="E51" s="15" t="inlineStr">
        <is>
          <t>中</t>
        </is>
      </c>
      <c r="F51" s="17" t="inlineStr">
        <is>
          <t>◀ 移动会让栏位跨到其他分组</t>
        </is>
      </c>
      <c r="G51" s="16" t="inlineStr">
        <is>
          <t>1. 自订栏位主表栏位，对「VIP等级」（等级组第一个）按 ◀</t>
        </is>
      </c>
      <c r="H51" s="16" t="inlineStr">
        <is>
          <t>表格中栏位移到前一组，表头分组变成「账号信息｜等级｜账号信息｜等级」；抽屉内看起来没变化</t>
        </is>
      </c>
      <c r="I51" s="16" t="inlineStr">
        <is>
          <t>◀▶ 只在同组内移动，组边界时停用按钮</t>
        </is>
      </c>
      <c r="J51" s="16" t="inlineStr">
        <is>
          <t>script.js window.moveColumnLeft/Right</t>
        </is>
      </c>
      <c r="K51" s="15" t="inlineStr">
        <is>
          <t>待处理</t>
        </is>
      </c>
      <c r="L51" s="16" t="inlineStr"/>
    </row>
    <row r="52">
      <c r="A52" s="15" t="inlineStr">
        <is>
          <t>BUG-051</t>
        </is>
      </c>
      <c r="B52" s="15" t="inlineStr">
        <is>
          <t>第2轮</t>
        </is>
      </c>
      <c r="C52" s="16" t="inlineStr">
        <is>
          <t>自订栏位</t>
        </is>
      </c>
      <c r="D52" s="16" t="inlineStr">
        <is>
          <t>全部</t>
        </is>
      </c>
      <c r="E52" s="15" t="inlineStr">
        <is>
          <t>低</t>
        </is>
      </c>
      <c r="F52" s="17" t="inlineStr">
        <is>
          <t>↑↓ 按钮在边界时无效果但未停用</t>
        </is>
      </c>
      <c r="G52" s="16" t="inlineStr">
        <is>
          <t>1. 对最上／最下或分界处的卡片按 ↑／↓</t>
        </is>
      </c>
      <c r="H52" s="16" t="inlineStr">
        <is>
          <t>无效果，按钮仍可点</t>
        </is>
      </c>
      <c r="I52" s="16" t="inlineStr">
        <is>
          <t>边界时按钮显示为停用</t>
        </is>
      </c>
      <c r="J52" s="16" t="inlineStr">
        <is>
          <t>renderCategoryCard</t>
        </is>
      </c>
      <c r="K52" s="15" t="inlineStr">
        <is>
          <t>待处理</t>
        </is>
      </c>
      <c r="L52" s="16" t="inlineStr"/>
    </row>
    <row r="53">
      <c r="A53" s="15" t="inlineStr">
        <is>
          <t>BUG-052</t>
        </is>
      </c>
      <c r="B53" s="15" t="inlineStr">
        <is>
          <t>第2轮</t>
        </is>
      </c>
      <c r="C53" s="16" t="inlineStr">
        <is>
          <t>自订栏位</t>
        </is>
      </c>
      <c r="D53" s="16" t="inlineStr">
        <is>
          <t>全部</t>
        </is>
      </c>
      <c r="E53" s="15" t="inlineStr">
        <is>
          <t>中</t>
        </is>
      </c>
      <c r="F53" s="17" t="inlineStr">
        <is>
          <t>所有设定重新整理后遗失</t>
        </is>
      </c>
      <c r="G53" s="16" t="inlineStr">
        <is>
          <t>1. 调整自订栏位、自订筛选、切换压缩模式
2. 重新整理页面</t>
        </is>
      </c>
      <c r="H53" s="16" t="inlineStr">
        <is>
          <t>全部回到预设，模式回到巢状（localStorage 为空）</t>
        </is>
      </c>
      <c r="I53" s="16" t="inlineStr">
        <is>
          <t>保存使用者设定（若原型不需保存可忽略）</t>
        </is>
      </c>
      <c r="J53" s="16" t="inlineStr">
        <is>
          <t>无持久化</t>
        </is>
      </c>
      <c r="K53" s="15" t="inlineStr">
        <is>
          <t>待处理</t>
        </is>
      </c>
      <c r="L53" s="16" t="inlineStr"/>
    </row>
    <row r="54">
      <c r="A54" s="15" t="inlineStr">
        <is>
          <t>BUG-053</t>
        </is>
      </c>
      <c r="B54" s="15" t="inlineStr">
        <is>
          <t>第3轮</t>
        </is>
      </c>
      <c r="C54" s="16" t="inlineStr">
        <is>
          <t>金额显示</t>
        </is>
      </c>
      <c r="D54" s="16" t="inlineStr">
        <is>
          <t>巢状模式</t>
        </is>
      </c>
      <c r="E54" s="15" t="inlineStr">
        <is>
          <t>高</t>
        </is>
      </c>
      <c r="F54" s="17" t="inlineStr">
        <is>
          <t>「存取款（汇总 USDT）」不分币种一律除以 7.2</t>
        </is>
      </c>
      <c r="G54" s="16" t="inlineStr">
        <is>
          <t>1. 正常数据、巢状模式
2. 对照 vip_king（VND）与 test_user_4（USDT）的主钱包与汇总栏</t>
        </is>
      </c>
      <c r="H54" s="16" t="inlineStr">
        <is>
          <t>VND 3,200 → 444.44 USDT；USDT 6,000.50 → 833.40 USDT；压缩模式又完全不换算，同一用户两种模式数值不同</t>
        </is>
      </c>
      <c r="I54" s="16" t="inlineStr">
        <is>
          <t>依各币种汇率折算为 USDT（USDT 本身 1:1），两种模式一致</t>
        </is>
      </c>
      <c r="J54" s="16" t="inlineStr">
        <is>
          <t>script.js:1978-1980、851-852</t>
        </is>
      </c>
      <c r="K54" s="15" t="inlineStr">
        <is>
          <t>待处理</t>
        </is>
      </c>
      <c r="L54" s="16" t="n"/>
    </row>
    <row r="55">
      <c r="A55" s="15" t="inlineStr">
        <is>
          <t>BUG-054</t>
        </is>
      </c>
      <c r="B55" s="15" t="inlineStr">
        <is>
          <t>第3轮</t>
        </is>
      </c>
      <c r="C55" s="16" t="inlineStr">
        <is>
          <t>金额显示</t>
        </is>
      </c>
      <c r="D55" s="16" t="inlineStr">
        <is>
          <t>全部</t>
        </is>
      </c>
      <c r="E55" s="15" t="inlineStr">
        <is>
          <t>高</t>
        </is>
      </c>
      <c r="F55" s="17" t="inlineStr">
        <is>
          <t>汇总后台加款／扣款写死为 0.00，展开卡片金额写死</t>
        </is>
      </c>
      <c r="G55" s="16" t="inlineStr">
        <is>
          <t>1. 巢状模式查看 mingv0717001 的后台扣款总额
2. 压缩模式展开同一列</t>
        </is>
      </c>
      <c r="H55" s="16" t="inlineStr">
        <is>
          <t>主钱包显示「- RMB」，汇总却显示「0.00 USDT」；展开卡片固定显示后台加款 1,000,000、余额宝 15,000、利息 35</t>
        </is>
      </c>
      <c r="I55" s="16" t="inlineStr">
        <is>
          <t>依用户实际资料显示；无数据时显示「-」</t>
        </is>
      </c>
      <c r="J55" s="16" t="inlineStr">
        <is>
          <t>script.js:1985-1986、2241-2286</t>
        </is>
      </c>
      <c r="K55" s="15" t="inlineStr">
        <is>
          <t>待处理</t>
        </is>
      </c>
      <c r="L55" s="16" t="n"/>
    </row>
    <row r="56">
      <c r="A56" s="15" t="inlineStr">
        <is>
          <t>BUG-055</t>
        </is>
      </c>
      <c r="B56" s="15" t="inlineStr">
        <is>
          <t>第3轮</t>
        </is>
      </c>
      <c r="C56" s="16" t="inlineStr">
        <is>
          <t>金额显示</t>
        </is>
      </c>
      <c r="D56" s="16" t="inlineStr">
        <is>
          <t>压缩模式</t>
        </is>
      </c>
      <c r="E56" s="15" t="inlineStr">
        <is>
          <t>高</t>
        </is>
      </c>
      <c r="F56" s="17" t="inlineStr">
        <is>
          <t>以「||」套预设值，真实的 0 被替换成假数字</t>
        </is>
      </c>
      <c r="G56" s="16" t="inlineStr">
        <is>
          <t>1. 压缩模式查看 mingv0717001（balanceBuy＝0）的余额宝</t>
        </is>
      </c>
      <c r="H56" s="16" t="inlineStr">
        <is>
          <t>显示 15,000（adminAdd 缺值时显示 200、利息显示 35）；对应排序也与画面数值不符</t>
        </is>
      </c>
      <c r="I56" s="16" t="inlineStr">
        <is>
          <t>0 显示为 0，缺值显示「-」</t>
        </is>
      </c>
      <c r="J56" s="16" t="inlineStr">
        <is>
          <t>script.js:3965、3972、3981-3982、4978</t>
        </is>
      </c>
      <c r="K56" s="15" t="inlineStr">
        <is>
          <t>待处理</t>
        </is>
      </c>
      <c r="L56" s="16" t="n"/>
    </row>
    <row r="57">
      <c r="A57" s="15" t="inlineStr">
        <is>
          <t>BUG-056</t>
        </is>
      </c>
      <c r="B57" s="15" t="inlineStr">
        <is>
          <t>第3轮</t>
        </is>
      </c>
      <c r="C57" s="16" t="inlineStr">
        <is>
          <t>权限控制</t>
        </is>
      </c>
      <c r="D57" s="16" t="inlineStr">
        <is>
          <t>全部</t>
        </is>
      </c>
      <c r="E57" s="15" t="inlineStr">
        <is>
          <t>高</t>
        </is>
      </c>
      <c r="F57" s="17" t="inlineStr">
        <is>
          <t>「会员敏感资讯（手机）／（姓名）」等 11 个权限开关无作用</t>
        </is>
      </c>
      <c r="G57" s="16" t="inlineStr">
        <is>
          <t>1. 左侧权限关闭「会员敏感资讯（姓名）」或「（手机）」
2. 查看列表与详情</t>
        </is>
      </c>
      <c r="H57" s="16" t="inlineStr">
        <is>
          <t>真实姓名、手机仍完整显示；查看会员列表、删除会员、RTP、赔率保存等 9 个权限也无任何对应处理</t>
        </is>
      </c>
      <c r="I57" s="16" t="inlineStr">
        <is>
          <t>关闭后对应资讯遮罩或功能隐藏</t>
        </is>
      </c>
      <c r="J57" s="16" t="inlineStr">
        <is>
          <t>content.html:1338-1550（无 TRACE_PERM_5A2F／B9EA／11FB／EB34／707E／A333／BB89／C694／8E6F／0919／25AC）</t>
        </is>
      </c>
      <c r="K57" s="15" t="inlineStr">
        <is>
          <t>待处理</t>
        </is>
      </c>
      <c r="L57" s="16" t="n"/>
    </row>
    <row r="58">
      <c r="A58" s="15" t="inlineStr">
        <is>
          <t>BUG-057</t>
        </is>
      </c>
      <c r="B58" s="15" t="inlineStr">
        <is>
          <t>第3轮</t>
        </is>
      </c>
      <c r="C58" s="16" t="inlineStr">
        <is>
          <t>列表模式</t>
        </is>
      </c>
      <c r="D58" s="16" t="inlineStr">
        <is>
          <t>全部</t>
        </is>
      </c>
      <c r="E58" s="15" t="inlineStr">
        <is>
          <t>高</t>
        </is>
      </c>
      <c r="F58" s="17" t="inlineStr">
        <is>
          <t>查询结果为 0 笔时表头按钮全部失效</t>
        </is>
      </c>
      <c r="G58" s="16" t="inlineStr">
        <is>
          <t>1. 精确账号输入 zzz 并搜寻
2. 点表头右侧「自订栏位」图标／压缩模式排序、钉选</t>
        </is>
      </c>
      <c r="H58" s="16" t="inlineStr">
        <is>
          <t>无任何反应</t>
        </is>
      </c>
      <c r="I58" s="16" t="inlineStr">
        <is>
          <t>按钮正常运作</t>
        </is>
      </c>
      <c r="J58" s="16" t="inlineStr">
        <is>
          <t>script.js:1896-1903（提早 return，跳过 2324、2459-2487 事件绑定）</t>
        </is>
      </c>
      <c r="K58" s="15" t="inlineStr">
        <is>
          <t>待处理</t>
        </is>
      </c>
      <c r="L58" s="16" t="n"/>
    </row>
    <row r="59">
      <c r="A59" s="15" t="inlineStr">
        <is>
          <t>BUG-058</t>
        </is>
      </c>
      <c r="B59" s="15" t="inlineStr">
        <is>
          <t>第3轮</t>
        </is>
      </c>
      <c r="C59" s="16" t="inlineStr">
        <is>
          <t>筛选与搜寻</t>
        </is>
      </c>
      <c r="D59" s="16" t="inlineStr">
        <is>
          <t>全部</t>
        </is>
      </c>
      <c r="E59" s="15" t="inlineStr">
        <is>
          <t>高</t>
        </is>
      </c>
      <c r="F59" s="17" t="inlineStr">
        <is>
          <t>筛选条件未按「搜寻」就生效，且筛选标签不同步</t>
        </is>
      </c>
      <c r="G59" s="16" t="inlineStr">
        <is>
          <t>1. 「状态」选「冻结」但不点搜寻
2. 翻页或切换压缩模式</t>
        </is>
      </c>
      <c r="H59" s="16" t="inlineStr">
        <is>
          <t>列表已只剩冻结会员，上方没有「状态: 冻结」标签</t>
        </is>
      </c>
      <c r="I59" s="16" t="inlineStr">
        <is>
          <t>条件需点「搜寻」才套用；标签与实际条件一致</t>
        </is>
      </c>
      <c r="J59" s="16" t="inlineStr">
        <is>
          <t>script.js:456-483、1509-1532</t>
        </is>
      </c>
      <c r="K59" s="15" t="inlineStr">
        <is>
          <t>待处理</t>
        </is>
      </c>
      <c r="L59" s="16" t="n"/>
    </row>
    <row r="60">
      <c r="A60" s="15" t="inlineStr">
        <is>
          <t>BUG-059</t>
        </is>
      </c>
      <c r="B60" s="15" t="inlineStr">
        <is>
          <t>第3轮</t>
        </is>
      </c>
      <c r="C60" s="16" t="inlineStr">
        <is>
          <t>筛选与搜寻</t>
        </is>
      </c>
      <c r="D60" s="16" t="inlineStr">
        <is>
          <t>全部</t>
        </is>
      </c>
      <c r="E60" s="15" t="inlineStr">
        <is>
          <t>中</t>
        </is>
      </c>
      <c r="F60" s="17" t="inlineStr">
        <is>
          <t>点「搜寻」不会回到第 1 页</t>
        </is>
      </c>
      <c r="G60" s="16" t="inlineStr">
        <is>
          <t>1. 翻到第 5 页
2. 输入条件搜出 2 页结果</t>
        </is>
      </c>
      <c r="H60" s="16" t="inlineStr">
        <is>
          <t>停在最后一页（第 2 页）</t>
        </is>
      </c>
      <c r="I60" s="16" t="inlineStr">
        <is>
          <t>搜寻后回到第 1 页</t>
        </is>
      </c>
      <c r="J60" s="16" t="inlineStr">
        <is>
          <t>script.js:2820-2827</t>
        </is>
      </c>
      <c r="K60" s="15" t="inlineStr">
        <is>
          <t>待处理</t>
        </is>
      </c>
      <c r="L60" s="16" t="n"/>
    </row>
    <row r="61">
      <c r="A61" s="15" t="inlineStr">
        <is>
          <t>BUG-060</t>
        </is>
      </c>
      <c r="B61" s="15" t="inlineStr">
        <is>
          <t>第3轮</t>
        </is>
      </c>
      <c r="C61" s="16" t="inlineStr">
        <is>
          <t>用户抽屉</t>
        </is>
      </c>
      <c r="D61" s="16" t="inlineStr">
        <is>
          <t>全部</t>
        </is>
      </c>
      <c r="E61" s="15" t="inlineStr">
        <is>
          <t>中</t>
        </is>
      </c>
      <c r="F61" s="17" t="inlineStr">
        <is>
          <t>编辑用户保存时未校验栏位格式</t>
        </is>
      </c>
      <c r="G61" s="16" t="inlineStr">
        <is>
          <t>1. 编辑用户，Email 填 not-an-email、手机填 abc
2. 点「保存修改」</t>
        </is>
      </c>
      <c r="H61" s="16" t="inlineStr">
        <is>
          <t>无任何错误提示，直接显示「用户详情已更新！」</t>
        </is>
      </c>
      <c r="I61" s="16" t="inlineStr">
        <is>
          <t>显示格式错误提示并阻止保存（另见 BUG-008 未实际保存）</t>
        </is>
      </c>
      <c r="J61" s="16" t="inlineStr">
        <is>
          <t>script.js:3478-3482</t>
        </is>
      </c>
      <c r="K61" s="15" t="inlineStr">
        <is>
          <t>待处理</t>
        </is>
      </c>
      <c r="L61" s="16" t="n"/>
    </row>
    <row r="62">
      <c r="A62" s="15" t="inlineStr">
        <is>
          <t>BUG-061</t>
        </is>
      </c>
      <c r="B62" s="15" t="inlineStr">
        <is>
          <t>第3轮</t>
        </is>
      </c>
      <c r="C62" s="16" t="inlineStr">
        <is>
          <t>列表模式</t>
        </is>
      </c>
      <c r="D62" s="16" t="inlineStr">
        <is>
          <t>正常</t>
        </is>
      </c>
      <c r="E62" s="15" t="inlineStr">
        <is>
          <t>中</t>
        </is>
      </c>
      <c r="F62" s="17" t="inlineStr">
        <is>
          <t>「离开天数」与最后登录时间不符</t>
        </is>
      </c>
      <c r="G62" s="16" t="inlineStr">
        <is>
          <t>1. 对照 mingv0717001 与 mingv0717001_1（最后登录同为 2023-01-10 15:30）</t>
        </is>
      </c>
      <c r="H62" s="16" t="inlineStr">
        <is>
          <t>分别显示 9天、10天；数值与日期无关</t>
        </is>
      </c>
      <c r="I62" s="16" t="inlineStr">
        <is>
          <t>依最后登录时间计算</t>
        </is>
      </c>
      <c r="J62" s="16" t="inlineStr">
        <is>
          <t>script.js:1019（(offlineDays + i) % 15）</t>
        </is>
      </c>
      <c r="K62" s="15" t="inlineStr">
        <is>
          <t>待处理</t>
        </is>
      </c>
      <c r="L62" s="16" t="n"/>
    </row>
    <row r="63">
      <c r="A63" s="15" t="inlineStr">
        <is>
          <t>BUG-062</t>
        </is>
      </c>
      <c r="B63" s="15" t="inlineStr">
        <is>
          <t>第3轮</t>
        </is>
      </c>
      <c r="C63" s="16" t="inlineStr">
        <is>
          <t>无数据状态</t>
        </is>
      </c>
      <c r="D63" s="16" t="inlineStr">
        <is>
          <t>无数据</t>
        </is>
      </c>
      <c r="E63" s="15" t="inlineStr">
        <is>
          <t>中</t>
        </is>
      </c>
      <c r="F63" s="17" t="inlineStr">
        <is>
          <t>无数据时显示「N/A」，金额仍带单位</t>
        </is>
      </c>
      <c r="G63" s="16" t="inlineStr">
        <is>
          <t>1. ?mock=nodata
2. 查看会员名、真实姓名、备注与汇总栏、底部统计列</t>
        </is>
      </c>
      <c r="H63" s="16" t="inlineStr">
        <is>
          <t>显示「N/A」；汇总显示「- USDT」，统计列「- USDT」「- 人」</t>
        </is>
      </c>
      <c r="I63" s="16" t="inlineStr">
        <is>
          <t>依 GEMINI.md 统一显示「-」，不带单位</t>
        </is>
      </c>
      <c r="J63" s="16" t="inlineStr">
        <is>
          <t>script.js:792、1936-1938、1982-1986；content.html:349-364</t>
        </is>
      </c>
      <c r="K63" s="15" t="inlineStr">
        <is>
          <t>待处理</t>
        </is>
      </c>
      <c r="L63" s="16" t="n"/>
    </row>
    <row r="64">
      <c r="A64" s="15" t="inlineStr">
        <is>
          <t>BUG-063</t>
        </is>
      </c>
      <c r="B64" s="15" t="inlineStr">
        <is>
          <t>第3轮</t>
        </is>
      </c>
      <c r="C64" s="16" t="inlineStr">
        <is>
          <t>无数据状态</t>
        </is>
      </c>
      <c r="D64" s="16" t="inlineStr">
        <is>
          <t>无数据</t>
        </is>
      </c>
      <c r="E64" s="15" t="inlineStr">
        <is>
          <t>中</t>
        </is>
      </c>
      <c r="F64" s="17" t="inlineStr">
        <is>
          <t>「设备与IP纪录」页签整个被清空成「-」</t>
        </is>
      </c>
      <c r="G64" s="16" t="inlineStr">
        <is>
          <t>1. ?mock=nodata
2. 打开查看详情 → 设备与IP纪录</t>
        </is>
      </c>
      <c r="H64" s="16" t="inlineStr">
        <is>
          <t>标题与栏位全部消失，只剩一个「-」</t>
        </is>
      </c>
      <c r="I64" s="16" t="inlineStr">
        <is>
          <t>保留栏位结构，仅数值显示「-」</t>
        </is>
      </c>
      <c r="J64" s="16" t="inlineStr">
        <is>
          <t>script.js:3204-3209（div 比对范围过大）</t>
        </is>
      </c>
      <c r="K64" s="15" t="inlineStr">
        <is>
          <t>待处理</t>
        </is>
      </c>
      <c r="L64" s="16" t="n"/>
    </row>
    <row r="65">
      <c r="A65" s="15" t="inlineStr">
        <is>
          <t>BUG-064</t>
        </is>
      </c>
      <c r="B65" s="15" t="inlineStr">
        <is>
          <t>第3轮</t>
        </is>
      </c>
      <c r="C65" s="16" t="inlineStr">
        <is>
          <t>无数据状态</t>
        </is>
      </c>
      <c r="D65" s="16" t="inlineStr">
        <is>
          <t>无数据 / 压缩模式</t>
        </is>
      </c>
      <c r="E65" s="15" t="inlineStr">
        <is>
          <t>低</t>
        </is>
      </c>
      <c r="F65" s="17" t="inlineStr">
        <is>
          <t>压缩模式「⋯」选单在无数据时仍可打开抽屉</t>
        </is>
      </c>
      <c r="G65" s="16" t="inlineStr">
        <is>
          <t>1. ?mock=nodata 切压缩模式
2. ⋯ → 编辑用户</t>
        </is>
      </c>
      <c r="H65" s="16" t="inlineStr">
        <is>
          <t>抽屉照常打开（巢状模式会阻止）</t>
        </is>
      </c>
      <c r="I65" s="16" t="inlineStr">
        <is>
          <t>两种模式行为一致</t>
        </is>
      </c>
      <c r="J65" s="16" t="inlineStr">
        <is>
          <t>script.js:2389-2392 vs 3440</t>
        </is>
      </c>
      <c r="K65" s="15" t="inlineStr">
        <is>
          <t>待处理</t>
        </is>
      </c>
      <c r="L65" s="16" t="n"/>
    </row>
    <row r="66">
      <c r="A66" s="15" t="inlineStr">
        <is>
          <t>BUG-065</t>
        </is>
      </c>
      <c r="B66" s="15" t="inlineStr">
        <is>
          <t>第3轮</t>
        </is>
      </c>
      <c r="C66" s="16" t="inlineStr">
        <is>
          <t>金额显示</t>
        </is>
      </c>
      <c r="D66" s="16" t="inlineStr">
        <is>
          <t>巢状模式</t>
        </is>
      </c>
      <c r="E66" s="15" t="inlineStr">
        <is>
          <t>中</t>
        </is>
      </c>
      <c r="F66" s="17" t="inlineStr">
        <is>
          <t>点「存款次数／取款次数」会弹出币种换算弹窗</t>
        </is>
      </c>
      <c r="G66" s="16" t="inlineStr">
        <is>
          <t>1. 巢状模式点 vip_king 的「存款次数 8」</t>
        </is>
      </c>
      <c r="H66" s="16" t="inlineStr">
        <is>
          <t>弹出币种换算，把次数当金额</t>
        </is>
      </c>
      <c r="I66" s="16" t="inlineStr">
        <is>
          <t>次数不可点击，或打开次数明细</t>
        </is>
      </c>
      <c r="J66" s="16" t="inlineStr">
        <is>
          <t>script.js:1974-1975、1987-1988</t>
        </is>
      </c>
      <c r="K66" s="15" t="inlineStr">
        <is>
          <t>待处理</t>
        </is>
      </c>
      <c r="L66" s="16" t="n"/>
    </row>
    <row r="67">
      <c r="A67" s="15" t="inlineStr">
        <is>
          <t>BUG-066</t>
        </is>
      </c>
      <c r="B67" s="15" t="inlineStr">
        <is>
          <t>第3轮</t>
        </is>
      </c>
      <c r="C67" s="16" t="inlineStr">
        <is>
          <t>列表模式</t>
        </is>
      </c>
      <c r="D67" s="16" t="inlineStr">
        <is>
          <t>巢状模式</t>
        </is>
      </c>
      <c r="E67" s="15" t="inlineStr">
        <is>
          <t>中</t>
        </is>
      </c>
      <c r="F67" s="17" t="inlineStr">
        <is>
          <t>巢状模式「钉选栏位」无效</t>
        </is>
      </c>
      <c r="G67" s="16" t="inlineStr">
        <is>
          <t>1. 巢状模式 → 自订栏位 → 钉选「标签」
2. 横向卷动表格</t>
        </is>
      </c>
      <c r="H67" s="16" t="inlineStr">
        <is>
          <t>该栏未固定</t>
        </is>
      </c>
      <c r="I67" s="16" t="inlineStr">
        <is>
          <t>钉选栏位固定于左侧</t>
        </is>
      </c>
      <c r="J67" s="16" t="inlineStr">
        <is>
          <t>script.js:1690-1692、1921-1922、3776</t>
        </is>
      </c>
      <c r="K67" s="15" t="inlineStr">
        <is>
          <t>待处理</t>
        </is>
      </c>
      <c r="L67" s="16" t="n"/>
    </row>
    <row r="68">
      <c r="A68" s="15" t="inlineStr">
        <is>
          <t>BUG-067</t>
        </is>
      </c>
      <c r="B68" s="15" t="inlineStr">
        <is>
          <t>第3轮</t>
        </is>
      </c>
      <c r="C68" s="16" t="inlineStr">
        <is>
          <t>自订栏位</t>
        </is>
      </c>
      <c r="D68" s="16" t="inlineStr">
        <is>
          <t>压缩模式</t>
        </is>
      </c>
      <c r="E68" s="15" t="inlineStr">
        <is>
          <t>中</t>
        </is>
      </c>
      <c r="F68" s="17" t="inlineStr">
        <is>
          <t>展开卡片「其他」区不受「已加入主表」控制</t>
        </is>
      </c>
      <c r="G68" s="16" t="inlineStr">
        <is>
          <t>1. 自订栏位将「其他／备注」加入主表
2. 展开任一列</t>
        </is>
      </c>
      <c r="H68" s="16" t="inlineStr">
        <is>
          <t>备注同时出现在主表与卡片</t>
        </is>
      </c>
      <c r="I68" s="16" t="inlineStr">
        <is>
          <t>加入主表后卡片中隐藏</t>
        </is>
      </c>
      <c r="J68" s="16" t="inlineStr">
        <is>
          <t>script.js:2307-2310、50-53</t>
        </is>
      </c>
      <c r="K68" s="15" t="inlineStr">
        <is>
          <t>待处理</t>
        </is>
      </c>
      <c r="L68" s="16" t="n"/>
    </row>
    <row r="69">
      <c r="A69" s="15" t="inlineStr">
        <is>
          <t>BUG-068</t>
        </is>
      </c>
      <c r="B69" s="15" t="inlineStr">
        <is>
          <t>第3轮</t>
        </is>
      </c>
      <c r="C69" s="16" t="inlineStr">
        <is>
          <t>自订栏位</t>
        </is>
      </c>
      <c r="D69" s="16" t="inlineStr">
        <is>
          <t>全部</t>
        </is>
      </c>
      <c r="E69" s="15" t="inlineStr">
        <is>
          <t>低</t>
        </is>
      </c>
      <c r="F69" s="17" t="inlineStr">
        <is>
          <t>重新加入的栏位眼睛图标状态错误</t>
        </is>
      </c>
      <c r="G69" s="16" t="inlineStr">
        <is>
          <t>1. 「余额」加入主表 → 点眼睛隐藏 → 点 × 移除 → 再点 + 加入</t>
        </is>
      </c>
      <c r="H69" s="16" t="inlineStr">
        <is>
          <t>栏位已显示，图标仍为「隐藏」</t>
        </is>
      </c>
      <c r="I69" s="16" t="inlineStr">
        <is>
          <t>图标与实际显示一致</t>
        </is>
      </c>
      <c r="J69" s="16" t="inlineStr">
        <is>
          <t>script.js:4664-4703（对比 5352）</t>
        </is>
      </c>
      <c r="K69" s="15" t="inlineStr">
        <is>
          <t>待处理</t>
        </is>
      </c>
      <c r="L69" s="16" t="n"/>
    </row>
    <row r="70">
      <c r="A70" s="15" t="inlineStr">
        <is>
          <t>BUG-069</t>
        </is>
      </c>
      <c r="B70" s="15" t="inlineStr">
        <is>
          <t>第3轮</t>
        </is>
      </c>
      <c r="C70" s="16" t="inlineStr">
        <is>
          <t>文案与用语</t>
        </is>
      </c>
      <c r="D70" s="16" t="inlineStr">
        <is>
          <t>全部</t>
        </is>
      </c>
      <c r="E70" s="15" t="inlineStr">
        <is>
          <t>中</t>
        </is>
      </c>
      <c r="F70" s="17" t="inlineStr">
        <is>
          <t>介面出现繁体字「暱」</t>
        </is>
      </c>
      <c r="G70" s="16" t="inlineStr">
        <is>
          <t>1. 查看列表「用户暱称」、编辑／详情抽屉</t>
        </is>
      </c>
      <c r="H70" s="16" t="inlineStr">
        <is>
          <t>显示「暱称」，其他处为「昵称」</t>
        </is>
      </c>
      <c r="I70" s="16" t="inlineStr">
        <is>
          <t>依 GEMINI.md 统一为简体「昵称」</t>
        </is>
      </c>
      <c r="J70" s="16" t="inlineStr">
        <is>
          <t>script.js:1938、3907；content.html:525、861</t>
        </is>
      </c>
      <c r="K70" s="15" t="inlineStr">
        <is>
          <t>待处理</t>
        </is>
      </c>
      <c r="L70" s="16" t="n"/>
    </row>
    <row r="71">
      <c r="A71" s="15" t="inlineStr">
        <is>
          <t>BUG-070</t>
        </is>
      </c>
      <c r="B71" s="15" t="inlineStr">
        <is>
          <t>第3轮</t>
        </is>
      </c>
      <c r="C71" s="16" t="inlineStr">
        <is>
          <t>极限状态</t>
        </is>
      </c>
      <c r="D71" s="16" t="inlineStr">
        <is>
          <t>极限</t>
        </is>
      </c>
      <c r="E71" s="15" t="inlineStr">
        <is>
          <t>中</t>
        </is>
      </c>
      <c r="F71" s="17" t="inlineStr">
        <is>
          <t>极限数据被生成逻辑覆盖，且 mock 有重复 uid</t>
        </is>
      </c>
      <c r="G71" s="16" t="inlineStr">
        <is>
          <t>1. ?mock=extreme 查看用户ID、等级、离开天数</t>
        </is>
      </c>
      <c r="H71" s="16" t="inlineStr">
        <is>
          <t>uid 变成 uid_1、等级为「VIP会员」等短值、9999 天被 %15 改小；mock_data_extreme.js 第 3/4/5、7/8/9 笔 uid 重复</t>
        </is>
      </c>
      <c r="I71" s="16" t="inlineStr">
        <is>
          <t>保留极限值以测试溢出</t>
        </is>
      </c>
      <c r="J71" s="16" t="inlineStr">
        <is>
          <t>script.js:1016-1022；mock_data_extreme.js</t>
        </is>
      </c>
      <c r="K71" s="15" t="inlineStr">
        <is>
          <t>待处理</t>
        </is>
      </c>
      <c r="L71" s="16" t="n"/>
    </row>
    <row r="72">
      <c r="A72" s="15" t="inlineStr">
        <is>
          <t>BUG-071</t>
        </is>
      </c>
      <c r="B72" s="15" t="inlineStr">
        <is>
          <t>第3轮</t>
        </is>
      </c>
      <c r="C72" s="16" t="inlineStr">
        <is>
          <t>筛选与搜寻</t>
        </is>
      </c>
      <c r="D72" s="16" t="inlineStr">
        <is>
          <t>全部</t>
        </is>
      </c>
      <c r="E72" s="15" t="inlineStr">
        <is>
          <t>低</t>
        </is>
      </c>
      <c r="F72" s="17" t="inlineStr">
        <is>
          <t>数字筛选未校验、精确匹配不分大小写</t>
        </is>
      </c>
      <c r="G72" s="16" t="inlineStr">
        <is>
          <t>1. 存款金额大于输入 abc、未登入天数输入 -5 并搜寻
2. 账号（精确匹配）输入 VIP_KING</t>
        </is>
      </c>
      <c r="H72" s="16" t="inlineStr">
        <is>
          <t>产生「存款大于 abc」等标签但筛选无效；VIP_KING 可查到 vip_king</t>
        </is>
      </c>
      <c r="I72" s="16" t="inlineStr">
        <is>
          <t>限制数字输入并提示；精确匹配应区分大小写（需确认）</t>
        </is>
      </c>
      <c r="J72" s="16" t="inlineStr">
        <is>
          <t>script.js:1206、1531、1585</t>
        </is>
      </c>
      <c r="K72" s="15" t="inlineStr">
        <is>
          <t>待处理</t>
        </is>
      </c>
      <c r="L72" s="16" t="n"/>
    </row>
    <row r="73">
      <c r="A73" s="15" t="inlineStr">
        <is>
          <t>BUG-072</t>
        </is>
      </c>
      <c r="B73" s="15" t="inlineStr">
        <is>
          <t>第3轮</t>
        </is>
      </c>
      <c r="C73" s="16" t="inlineStr">
        <is>
          <t>筛选与搜寻</t>
        </is>
      </c>
      <c r="D73" s="16" t="inlineStr">
        <is>
          <t>全部</t>
        </is>
      </c>
      <c r="E73" s="15" t="inlineStr">
        <is>
          <t>低</t>
        </is>
      </c>
      <c r="F73" s="17" t="inlineStr">
        <is>
          <t>新增时间结束只精确到分钟，边界记录被排除</t>
        </is>
      </c>
      <c r="G73" s="16" t="inlineStr">
        <is>
          <t>1. 新增时间结束设 15:30
2. 搜寻含 15:30:00 的记录</t>
        </is>
      </c>
      <c r="H73" s="16" t="inlineStr">
        <is>
          <t>该笔被排除</t>
        </is>
      </c>
      <c r="I73" s="16" t="inlineStr">
        <is>
          <t>结束时间包含整分钟（≤ 15:30:59）</t>
        </is>
      </c>
      <c r="J73" s="16" t="inlineStr">
        <is>
          <t>script.js:1579</t>
        </is>
      </c>
      <c r="K73" s="15" t="inlineStr">
        <is>
          <t>待处理</t>
        </is>
      </c>
      <c r="L73" s="16" t="n"/>
    </row>
    <row r="74">
      <c r="A74" s="15" t="inlineStr">
        <is>
          <t>BUG-073</t>
        </is>
      </c>
      <c r="B74" s="15" t="inlineStr">
        <is>
          <t>第3轮</t>
        </is>
      </c>
      <c r="C74" s="16" t="inlineStr">
        <is>
          <t>弹窗与抽屉</t>
        </is>
      </c>
      <c r="D74" s="16" t="inlineStr">
        <is>
          <t>全部</t>
        </is>
      </c>
      <c r="E74" s="15" t="inlineStr">
        <is>
          <t>低</t>
        </is>
      </c>
      <c r="F74" s="17" t="inlineStr">
        <is>
          <t>showToast 定义两次，提示会挡住底部点击</t>
        </is>
      </c>
      <c r="G74" s="16" t="inlineStr">
        <is>
          <t>1. 保存编辑后立即点底部区域</t>
        </is>
      </c>
      <c r="H74" s="16" t="inlineStr">
        <is>
          <t>3 秒内 toast 挡住点击（后定义版本缺 pointer-events:none）</t>
        </is>
      </c>
      <c r="I74" s="16" t="inlineStr">
        <is>
          <t>toast 不阻挡点击</t>
        </is>
      </c>
      <c r="J74" s="16" t="inlineStr">
        <is>
          <t>script.js:3486 被 4828 覆盖</t>
        </is>
      </c>
      <c r="K74" s="15" t="inlineStr">
        <is>
          <t>待处理</t>
        </is>
      </c>
      <c r="L74" s="16" t="n"/>
    </row>
    <row r="75">
      <c r="A75" s="15" t="inlineStr">
        <is>
          <t>BUG-074</t>
        </is>
      </c>
      <c r="B75" s="15" t="inlineStr">
        <is>
          <t>第3轮</t>
        </is>
      </c>
      <c r="C75" s="16" t="inlineStr">
        <is>
          <t>文案与用语</t>
        </is>
      </c>
      <c r="D75" s="16" t="inlineStr">
        <is>
          <t>全部</t>
        </is>
      </c>
      <c r="E75" s="15" t="inlineStr">
        <is>
          <t>低</t>
        </is>
      </c>
      <c r="F75" s="17" t="inlineStr">
        <is>
          <t>用语与语系标记不一致</t>
        </is>
      </c>
      <c r="G75" s="16" t="inlineStr">
        <is>
          <t>1. 查看顶栏、筛选标签与 HTML 原始码</t>
        </is>
      </c>
      <c r="H75" s="16" t="inlineStr">
        <is>
          <t>顶栏多出「uu」文字；标签「登入 IP」vs 栏位「登录IP」；lang="zh-TW"；搜寻／储存／资讯等台湾用语</t>
        </is>
      </c>
      <c r="I75" s="16" t="inlineStr">
        <is>
          <t>用语统一为简体中文惯用语，lang="zh-CN"</t>
        </is>
      </c>
      <c r="J75" s="16" t="inlineStr">
        <is>
          <t>index.html:2、412；content.html:2</t>
        </is>
      </c>
      <c r="K75" s="15" t="inlineStr">
        <is>
          <t>待处理</t>
        </is>
      </c>
      <c r="L75" s="16" t="n"/>
    </row>
    <row r="76">
      <c r="A76" s="15" t="inlineStr">
        <is>
          <t>BUG-075</t>
        </is>
      </c>
      <c r="B76" s="15" t="inlineStr">
        <is>
          <t>第3轮</t>
        </is>
      </c>
      <c r="C76" s="16" t="inlineStr">
        <is>
          <t>列表模式</t>
        </is>
      </c>
      <c r="D76" s="16" t="inlineStr">
        <is>
          <t>全部</t>
        </is>
      </c>
      <c r="E76" s="15" t="inlineStr">
        <is>
          <t>低</t>
        </is>
      </c>
      <c r="F76" s="17" t="inlineStr">
        <is>
          <t>底部统计列不随筛选结果变动</t>
        </is>
      </c>
      <c r="G76" s="16" t="inlineStr">
        <is>
          <t>1. 搜寻无结果的账号（zzz）</t>
        </is>
      </c>
      <c r="H76" s="16" t="inlineStr">
        <is>
          <t>统计列仍显示 41.25 USDT、25,818.78 USDT 等</t>
        </is>
      </c>
      <c r="I76" s="16" t="inlineStr">
        <is>
          <t>若应反映筛选结果则同步更新；若为全平台统计请标示</t>
        </is>
      </c>
      <c r="J76" s="16" t="inlineStr">
        <is>
          <t>content.html:349-364</t>
        </is>
      </c>
      <c r="K76" s="15" t="inlineStr">
        <is>
          <t>需确认</t>
        </is>
      </c>
      <c r="L76" s="16" t="n"/>
    </row>
    <row r="77">
      <c r="A77" s="15" t="inlineStr">
        <is>
          <t>BUG-076</t>
        </is>
      </c>
      <c r="B77" s="15" t="inlineStr">
        <is>
          <t>第3轮</t>
        </is>
      </c>
      <c r="C77" s="16" t="inlineStr">
        <is>
          <t>金额显示</t>
        </is>
      </c>
      <c r="D77" s="16" t="inlineStr">
        <is>
          <t>全部</t>
        </is>
      </c>
      <c r="E77" s="15" t="inlineStr">
        <is>
          <t>中</t>
        </is>
      </c>
      <c r="F77" s="17" t="inlineStr">
        <is>
          <t>规格冲突：「获取失败」应显示图示还是「-」</t>
        </is>
      </c>
      <c r="G77" s="16" t="inlineStr">
        <is>
          <t>对照 data_status.md 与 GEMINI.md</t>
        </is>
      </c>
      <c r="H77" s="16" t="inlineStr">
        <is>
          <t>程式依 data_status.md 显示警示图示</t>
        </is>
      </c>
      <c r="I77" s="16" t="inlineStr">
        <is>
          <t>确认以哪份规格为准</t>
        </is>
      </c>
      <c r="J77" s="16" t="inlineStr">
        <is>
          <t>script.js:809-810</t>
        </is>
      </c>
      <c r="K77" s="15" t="inlineStr">
        <is>
          <t>需确认</t>
        </is>
      </c>
      <c r="L77" s="16" t="n"/>
    </row>
    <row r="78">
      <c r="A78" s="15" t="inlineStr">
        <is>
          <t>BUG-077</t>
        </is>
      </c>
      <c r="B78" s="15" t="inlineStr">
        <is>
          <t>第3轮</t>
        </is>
      </c>
      <c r="C78" s="16" t="inlineStr">
        <is>
          <t>筛选与搜寻</t>
        </is>
      </c>
      <c r="D78" s="16" t="inlineStr">
        <is>
          <t>全部</t>
        </is>
      </c>
      <c r="E78" s="15" t="inlineStr">
        <is>
          <t>低</t>
        </is>
      </c>
      <c r="F78" s="17" t="inlineStr">
        <is>
          <t>「存款金额大于」直接比较不同币种原始数值</t>
        </is>
      </c>
      <c r="G78" s="16" t="inlineStr">
        <is>
          <t>1. 存款金额大于输入 5000 并搜寻</t>
        </is>
      </c>
      <c r="H78" s="16" t="inlineStr">
        <is>
          <t>test_user_6（VND 10,000）被列入</t>
        </is>
      </c>
      <c r="I78" s="16" t="inlineStr">
        <is>
          <t>确认是否应先换算为同一币种再比较</t>
        </is>
      </c>
      <c r="J78" s="16" t="inlineStr">
        <is>
          <t>script.js:1585</t>
        </is>
      </c>
      <c r="K78" s="15" t="inlineStr">
        <is>
          <t>需确认</t>
        </is>
      </c>
      <c r="L78" s="16" t="n"/>
    </row>
  </sheetData>
  <autoFilter ref="A1:L78"/>
  <conditionalFormatting sqref="E2:E78">
    <cfRule type="expression" priority="1" dxfId="0">
      <formula>$E2="高"</formula>
    </cfRule>
    <cfRule type="expression" priority="2" dxfId="1">
      <formula>$E2="中"</formula>
    </cfRule>
    <cfRule type="expression" priority="3" dxfId="2">
      <formula>$E2="低"</formula>
    </cfRule>
  </conditionalFormatting>
  <conditionalFormatting sqref="K2:K78">
    <cfRule type="expression" priority="4" dxfId="3">
      <formula>$K2="已修复"</formula>
    </cfRule>
  </conditionalFormatting>
  <dataValidations count="2">
    <dataValidation sqref="K2:K78" showDropDown="0" showInputMessage="0" showErrorMessage="0" allowBlank="1" type="list">
      <formula1>"待处理,处理中,已修复,不修复,需确认"</formula1>
    </dataValidation>
    <dataValidation sqref="E2:E78" showDropDown="0" showInputMessage="0" showErrorMessage="0" allowBlank="0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2026-10-01T06:21:42Z</dcterms:created>
  <dcterms:modified xsi:type="dcterms:W3CDTF">2026-10-02T05:25:28Z</dcterms:modified>
</cp:coreProperties>
</file>